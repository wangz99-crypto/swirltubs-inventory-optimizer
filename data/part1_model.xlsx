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3517\OneDrive\桌面\Case Study\"/>
    </mc:Choice>
  </mc:AlternateContent>
  <xr:revisionPtr revIDLastSave="0" documentId="8_{0AA103DF-53B3-4593-ABCF-87C21C12DE0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odel" sheetId="1" r:id="rId1"/>
    <sheet name="Raw Data" sheetId="2" r:id="rId2"/>
    <sheet name="Test Data" sheetId="3" r:id="rId3"/>
  </sheets>
  <definedNames>
    <definedName name="OpenSolver_ChosenSolver" localSheetId="0">CBC</definedName>
    <definedName name="OpenSolver_DualsNewSheet" localSheetId="0">0</definedName>
    <definedName name="OpenSolver_LinearityCheck" localSheetId="0">1</definedName>
    <definedName name="OpenSolver_UpdateSensitivity" localSheetId="0">1</definedName>
    <definedName name="OpenSolverModelParameters" localSheetId="0">Model!$I$5:$I$420</definedName>
    <definedName name="solver_adj" localSheetId="0">Model!$I$5:$I$420</definedName>
    <definedName name="solver_cvg" localSheetId="0">0.0001</definedName>
    <definedName name="solver_drv" localSheetId="0">2</definedName>
    <definedName name="solver_eng" localSheetId="0">2</definedName>
    <definedName name="solver_est" localSheetId="0">1</definedName>
    <definedName name="solver_itr" localSheetId="0">2147483647</definedName>
    <definedName name="solver_lhs1" localSheetId="0">Model!$I$5:$I$420</definedName>
    <definedName name="solver_lhs2" localSheetId="0">Model!$N$14</definedName>
    <definedName name="solver_mip" localSheetId="0">2147483647</definedName>
    <definedName name="solver_mni" localSheetId="0">30</definedName>
    <definedName name="solver_mrt" localSheetId="0">0.075</definedName>
    <definedName name="solver_msl" localSheetId="0">2</definedName>
    <definedName name="solver_neg" localSheetId="0">1</definedName>
    <definedName name="solver_nod" localSheetId="0">2147483647</definedName>
    <definedName name="solver_num" localSheetId="0">2</definedName>
    <definedName name="solver_nwt" localSheetId="0">1</definedName>
    <definedName name="solver_opt" localSheetId="0">Model!$N$16</definedName>
    <definedName name="solver_pre" localSheetId="0">0.000001</definedName>
    <definedName name="solver_rbv" localSheetId="0">2</definedName>
    <definedName name="solver_rel1" localSheetId="0">5</definedName>
    <definedName name="solver_rel2" localSheetId="0">1</definedName>
    <definedName name="solver_rhs1" localSheetId="0">"binary"</definedName>
    <definedName name="solver_rhs2" localSheetId="0">Model!$P$14</definedName>
    <definedName name="solver_rlx" localSheetId="0">2</definedName>
    <definedName name="solver_rsd" localSheetId="0">0</definedName>
    <definedName name="solver_scl" localSheetId="0">2</definedName>
    <definedName name="solver_sho" localSheetId="0">2</definedName>
    <definedName name="solver_ssz" localSheetId="0">100</definedName>
    <definedName name="solver_tim" localSheetId="0">2147483647</definedName>
    <definedName name="solver_tol" localSheetId="0">0.01</definedName>
    <definedName name="solver_typ" localSheetId="0">1</definedName>
    <definedName name="solver_val" localSheetId="0">0</definedName>
    <definedName name="solver_ver" localSheetId="0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Di6JLvDf2mcCW+SVTULRav1R4eUNiZzCGBuSsmTQdY="/>
    </ext>
  </extLst>
</workbook>
</file>

<file path=xl/calcChain.xml><?xml version="1.0" encoding="utf-8"?>
<calcChain xmlns="http://schemas.openxmlformats.org/spreadsheetml/2006/main">
  <c r="F420" i="1" l="1"/>
  <c r="G420" i="1" s="1"/>
  <c r="E420" i="1"/>
  <c r="H420" i="1" s="1"/>
  <c r="G419" i="1"/>
  <c r="F419" i="1"/>
  <c r="E419" i="1"/>
  <c r="H419" i="1" s="1"/>
  <c r="H418" i="1"/>
  <c r="F418" i="1"/>
  <c r="E418" i="1"/>
  <c r="F417" i="1"/>
  <c r="G417" i="1" s="1"/>
  <c r="E417" i="1"/>
  <c r="H417" i="1" s="1"/>
  <c r="F416" i="1"/>
  <c r="G416" i="1" s="1"/>
  <c r="E416" i="1"/>
  <c r="H416" i="1" s="1"/>
  <c r="F415" i="1"/>
  <c r="E415" i="1"/>
  <c r="H415" i="1" s="1"/>
  <c r="F414" i="1"/>
  <c r="G414" i="1" s="1"/>
  <c r="E414" i="1"/>
  <c r="H414" i="1" s="1"/>
  <c r="F413" i="1"/>
  <c r="E413" i="1"/>
  <c r="H413" i="1" s="1"/>
  <c r="H412" i="1"/>
  <c r="F412" i="1"/>
  <c r="E412" i="1"/>
  <c r="H411" i="1"/>
  <c r="F411" i="1"/>
  <c r="G411" i="1" s="1"/>
  <c r="E411" i="1"/>
  <c r="F410" i="1"/>
  <c r="G410" i="1" s="1"/>
  <c r="E410" i="1"/>
  <c r="H410" i="1" s="1"/>
  <c r="F409" i="1"/>
  <c r="E409" i="1"/>
  <c r="H409" i="1" s="1"/>
  <c r="F408" i="1"/>
  <c r="G408" i="1" s="1"/>
  <c r="E408" i="1"/>
  <c r="H408" i="1" s="1"/>
  <c r="F407" i="1"/>
  <c r="G407" i="1" s="1"/>
  <c r="E407" i="1"/>
  <c r="H407" i="1" s="1"/>
  <c r="F406" i="1"/>
  <c r="E406" i="1"/>
  <c r="H406" i="1" s="1"/>
  <c r="F405" i="1"/>
  <c r="H405" i="1" s="1"/>
  <c r="E405" i="1"/>
  <c r="G404" i="1"/>
  <c r="F404" i="1"/>
  <c r="E404" i="1"/>
  <c r="H404" i="1" s="1"/>
  <c r="H403" i="1"/>
  <c r="F403" i="1"/>
  <c r="E403" i="1"/>
  <c r="F402" i="1"/>
  <c r="G402" i="1" s="1"/>
  <c r="E402" i="1"/>
  <c r="H402" i="1" s="1"/>
  <c r="F401" i="1"/>
  <c r="E401" i="1"/>
  <c r="H401" i="1" s="1"/>
  <c r="H400" i="1"/>
  <c r="F400" i="1"/>
  <c r="E400" i="1"/>
  <c r="F399" i="1"/>
  <c r="G399" i="1" s="1"/>
  <c r="E399" i="1"/>
  <c r="H399" i="1" s="1"/>
  <c r="H398" i="1"/>
  <c r="G398" i="1"/>
  <c r="F398" i="1"/>
  <c r="E398" i="1"/>
  <c r="H397" i="1"/>
  <c r="F397" i="1"/>
  <c r="E397" i="1"/>
  <c r="F396" i="1"/>
  <c r="G396" i="1" s="1"/>
  <c r="E396" i="1"/>
  <c r="H396" i="1" s="1"/>
  <c r="F395" i="1"/>
  <c r="G395" i="1" s="1"/>
  <c r="E395" i="1"/>
  <c r="H395" i="1" s="1"/>
  <c r="F394" i="1"/>
  <c r="E394" i="1"/>
  <c r="H394" i="1" s="1"/>
  <c r="F393" i="1"/>
  <c r="G393" i="1" s="1"/>
  <c r="E393" i="1"/>
  <c r="H393" i="1" s="1"/>
  <c r="F392" i="1"/>
  <c r="G392" i="1" s="1"/>
  <c r="E392" i="1"/>
  <c r="H392" i="1" s="1"/>
  <c r="F391" i="1"/>
  <c r="E391" i="1"/>
  <c r="H391" i="1" s="1"/>
  <c r="F390" i="1"/>
  <c r="G390" i="1" s="1"/>
  <c r="E390" i="1"/>
  <c r="H390" i="1" s="1"/>
  <c r="F389" i="1"/>
  <c r="E389" i="1"/>
  <c r="H389" i="1" s="1"/>
  <c r="F388" i="1"/>
  <c r="E388" i="1"/>
  <c r="H388" i="1" s="1"/>
  <c r="F387" i="1"/>
  <c r="H387" i="1" s="1"/>
  <c r="E387" i="1"/>
  <c r="F386" i="1"/>
  <c r="G386" i="1" s="1"/>
  <c r="E386" i="1"/>
  <c r="H386" i="1" s="1"/>
  <c r="F385" i="1"/>
  <c r="G385" i="1" s="1"/>
  <c r="E385" i="1"/>
  <c r="F384" i="1"/>
  <c r="G384" i="1" s="1"/>
  <c r="E384" i="1"/>
  <c r="H384" i="1" s="1"/>
  <c r="F383" i="1"/>
  <c r="E383" i="1"/>
  <c r="H383" i="1" s="1"/>
  <c r="F382" i="1"/>
  <c r="E382" i="1"/>
  <c r="H382" i="1" s="1"/>
  <c r="F381" i="1"/>
  <c r="H381" i="1" s="1"/>
  <c r="E381" i="1"/>
  <c r="G380" i="1"/>
  <c r="F380" i="1"/>
  <c r="E380" i="1"/>
  <c r="H380" i="1" s="1"/>
  <c r="H379" i="1"/>
  <c r="F379" i="1"/>
  <c r="E379" i="1"/>
  <c r="F378" i="1"/>
  <c r="G378" i="1" s="1"/>
  <c r="E378" i="1"/>
  <c r="H378" i="1" s="1"/>
  <c r="F377" i="1"/>
  <c r="E377" i="1"/>
  <c r="H377" i="1" s="1"/>
  <c r="H376" i="1"/>
  <c r="F376" i="1"/>
  <c r="E376" i="1"/>
  <c r="F375" i="1"/>
  <c r="G375" i="1" s="1"/>
  <c r="E375" i="1"/>
  <c r="H375" i="1" s="1"/>
  <c r="H374" i="1"/>
  <c r="G374" i="1"/>
  <c r="F374" i="1"/>
  <c r="E374" i="1"/>
  <c r="H373" i="1"/>
  <c r="F373" i="1"/>
  <c r="E373" i="1"/>
  <c r="F372" i="1"/>
  <c r="G372" i="1" s="1"/>
  <c r="E372" i="1"/>
  <c r="H372" i="1" s="1"/>
  <c r="F371" i="1"/>
  <c r="G371" i="1" s="1"/>
  <c r="E371" i="1"/>
  <c r="F370" i="1"/>
  <c r="E370" i="1"/>
  <c r="H370" i="1" s="1"/>
  <c r="F369" i="1"/>
  <c r="G369" i="1" s="1"/>
  <c r="E369" i="1"/>
  <c r="H369" i="1" s="1"/>
  <c r="F368" i="1"/>
  <c r="G368" i="1" s="1"/>
  <c r="E368" i="1"/>
  <c r="H368" i="1" s="1"/>
  <c r="F367" i="1"/>
  <c r="E367" i="1"/>
  <c r="H367" i="1" s="1"/>
  <c r="F366" i="1"/>
  <c r="G366" i="1" s="1"/>
  <c r="E366" i="1"/>
  <c r="H366" i="1" s="1"/>
  <c r="F365" i="1"/>
  <c r="E365" i="1"/>
  <c r="H365" i="1" s="1"/>
  <c r="F364" i="1"/>
  <c r="E364" i="1"/>
  <c r="H364" i="1" s="1"/>
  <c r="G363" i="1"/>
  <c r="F363" i="1"/>
  <c r="H363" i="1" s="1"/>
  <c r="E363" i="1"/>
  <c r="F362" i="1"/>
  <c r="G362" i="1" s="1"/>
  <c r="E362" i="1"/>
  <c r="H362" i="1" s="1"/>
  <c r="F361" i="1"/>
  <c r="G361" i="1" s="1"/>
  <c r="E361" i="1"/>
  <c r="F360" i="1"/>
  <c r="G360" i="1" s="1"/>
  <c r="E360" i="1"/>
  <c r="H360" i="1" s="1"/>
  <c r="F359" i="1"/>
  <c r="E359" i="1"/>
  <c r="H359" i="1" s="1"/>
  <c r="F358" i="1"/>
  <c r="E358" i="1"/>
  <c r="H358" i="1" s="1"/>
  <c r="F357" i="1"/>
  <c r="H357" i="1" s="1"/>
  <c r="E357" i="1"/>
  <c r="G356" i="1"/>
  <c r="F356" i="1"/>
  <c r="E356" i="1"/>
  <c r="H356" i="1" s="1"/>
  <c r="H355" i="1"/>
  <c r="F355" i="1"/>
  <c r="E355" i="1"/>
  <c r="F354" i="1"/>
  <c r="G354" i="1" s="1"/>
  <c r="E354" i="1"/>
  <c r="H354" i="1" s="1"/>
  <c r="F353" i="1"/>
  <c r="E353" i="1"/>
  <c r="H353" i="1" s="1"/>
  <c r="H352" i="1"/>
  <c r="F352" i="1"/>
  <c r="E352" i="1"/>
  <c r="F351" i="1"/>
  <c r="G351" i="1" s="1"/>
  <c r="E351" i="1"/>
  <c r="H351" i="1" s="1"/>
  <c r="H350" i="1"/>
  <c r="G350" i="1"/>
  <c r="F350" i="1"/>
  <c r="E350" i="1"/>
  <c r="H349" i="1"/>
  <c r="F349" i="1"/>
  <c r="E349" i="1"/>
  <c r="F348" i="1"/>
  <c r="G348" i="1" s="1"/>
  <c r="E348" i="1"/>
  <c r="H348" i="1" s="1"/>
  <c r="F347" i="1"/>
  <c r="G347" i="1" s="1"/>
  <c r="E347" i="1"/>
  <c r="F346" i="1"/>
  <c r="E346" i="1"/>
  <c r="H346" i="1" s="1"/>
  <c r="F345" i="1"/>
  <c r="G345" i="1" s="1"/>
  <c r="E345" i="1"/>
  <c r="H345" i="1" s="1"/>
  <c r="F344" i="1"/>
  <c r="G344" i="1" s="1"/>
  <c r="E344" i="1"/>
  <c r="H344" i="1" s="1"/>
  <c r="F343" i="1"/>
  <c r="E343" i="1"/>
  <c r="H343" i="1" s="1"/>
  <c r="F342" i="1"/>
  <c r="G342" i="1" s="1"/>
  <c r="E342" i="1"/>
  <c r="H342" i="1" s="1"/>
  <c r="F341" i="1"/>
  <c r="E341" i="1"/>
  <c r="H341" i="1" s="1"/>
  <c r="F340" i="1"/>
  <c r="E340" i="1"/>
  <c r="H340" i="1" s="1"/>
  <c r="G339" i="1"/>
  <c r="F339" i="1"/>
  <c r="H339" i="1" s="1"/>
  <c r="E339" i="1"/>
  <c r="F338" i="1"/>
  <c r="G338" i="1" s="1"/>
  <c r="E338" i="1"/>
  <c r="H338" i="1" s="1"/>
  <c r="F337" i="1"/>
  <c r="G337" i="1" s="1"/>
  <c r="E337" i="1"/>
  <c r="F336" i="1"/>
  <c r="G336" i="1" s="1"/>
  <c r="E336" i="1"/>
  <c r="H336" i="1" s="1"/>
  <c r="F335" i="1"/>
  <c r="E335" i="1"/>
  <c r="H335" i="1" s="1"/>
  <c r="F334" i="1"/>
  <c r="E334" i="1"/>
  <c r="H334" i="1" s="1"/>
  <c r="F333" i="1"/>
  <c r="H333" i="1" s="1"/>
  <c r="E333" i="1"/>
  <c r="G332" i="1"/>
  <c r="F332" i="1"/>
  <c r="E332" i="1"/>
  <c r="H332" i="1" s="1"/>
  <c r="H331" i="1"/>
  <c r="F331" i="1"/>
  <c r="E331" i="1"/>
  <c r="F330" i="1"/>
  <c r="G330" i="1" s="1"/>
  <c r="E330" i="1"/>
  <c r="H330" i="1" s="1"/>
  <c r="F329" i="1"/>
  <c r="E329" i="1"/>
  <c r="H329" i="1" s="1"/>
  <c r="H328" i="1"/>
  <c r="F328" i="1"/>
  <c r="E328" i="1"/>
  <c r="F327" i="1"/>
  <c r="G327" i="1" s="1"/>
  <c r="E327" i="1"/>
  <c r="H327" i="1" s="1"/>
  <c r="H326" i="1"/>
  <c r="G326" i="1"/>
  <c r="F326" i="1"/>
  <c r="E326" i="1"/>
  <c r="H325" i="1"/>
  <c r="F325" i="1"/>
  <c r="E325" i="1"/>
  <c r="F324" i="1"/>
  <c r="G324" i="1" s="1"/>
  <c r="E324" i="1"/>
  <c r="H324" i="1" s="1"/>
  <c r="G323" i="1"/>
  <c r="F323" i="1"/>
  <c r="E323" i="1"/>
  <c r="F322" i="1"/>
  <c r="E322" i="1"/>
  <c r="H322" i="1" s="1"/>
  <c r="F321" i="1"/>
  <c r="H321" i="1" s="1"/>
  <c r="E321" i="1"/>
  <c r="F320" i="1"/>
  <c r="G320" i="1" s="1"/>
  <c r="E320" i="1"/>
  <c r="H320" i="1" s="1"/>
  <c r="F319" i="1"/>
  <c r="E319" i="1"/>
  <c r="H319" i="1" s="1"/>
  <c r="F318" i="1"/>
  <c r="G318" i="1" s="1"/>
  <c r="E318" i="1"/>
  <c r="H318" i="1" s="1"/>
  <c r="G317" i="1"/>
  <c r="F317" i="1"/>
  <c r="E317" i="1"/>
  <c r="H317" i="1" s="1"/>
  <c r="H316" i="1"/>
  <c r="F316" i="1"/>
  <c r="E316" i="1"/>
  <c r="H315" i="1"/>
  <c r="F315" i="1"/>
  <c r="G315" i="1" s="1"/>
  <c r="E315" i="1"/>
  <c r="F314" i="1"/>
  <c r="G314" i="1" s="1"/>
  <c r="E314" i="1"/>
  <c r="H314" i="1" s="1"/>
  <c r="F313" i="1"/>
  <c r="E313" i="1"/>
  <c r="H313" i="1" s="1"/>
  <c r="F312" i="1"/>
  <c r="G312" i="1" s="1"/>
  <c r="E312" i="1"/>
  <c r="H312" i="1" s="1"/>
  <c r="F311" i="1"/>
  <c r="G311" i="1" s="1"/>
  <c r="E311" i="1"/>
  <c r="H311" i="1" s="1"/>
  <c r="F310" i="1"/>
  <c r="E310" i="1"/>
  <c r="H310" i="1" s="1"/>
  <c r="F309" i="1"/>
  <c r="G309" i="1" s="1"/>
  <c r="E309" i="1"/>
  <c r="H309" i="1" s="1"/>
  <c r="H308" i="1"/>
  <c r="G308" i="1"/>
  <c r="F308" i="1"/>
  <c r="E308" i="1"/>
  <c r="F307" i="1"/>
  <c r="E307" i="1"/>
  <c r="H307" i="1" s="1"/>
  <c r="F306" i="1"/>
  <c r="G306" i="1" s="1"/>
  <c r="E306" i="1"/>
  <c r="H306" i="1" s="1"/>
  <c r="F305" i="1"/>
  <c r="G305" i="1" s="1"/>
  <c r="E305" i="1"/>
  <c r="H305" i="1" s="1"/>
  <c r="F304" i="1"/>
  <c r="E304" i="1"/>
  <c r="H304" i="1" s="1"/>
  <c r="H303" i="1"/>
  <c r="G303" i="1"/>
  <c r="F303" i="1"/>
  <c r="E303" i="1"/>
  <c r="H302" i="1"/>
  <c r="F302" i="1"/>
  <c r="G302" i="1" s="1"/>
  <c r="E302" i="1"/>
  <c r="F301" i="1"/>
  <c r="G301" i="1" s="1"/>
  <c r="E301" i="1"/>
  <c r="H301" i="1" s="1"/>
  <c r="F300" i="1"/>
  <c r="G300" i="1" s="1"/>
  <c r="E300" i="1"/>
  <c r="H300" i="1" s="1"/>
  <c r="F299" i="1"/>
  <c r="G299" i="1" s="1"/>
  <c r="E299" i="1"/>
  <c r="H299" i="1" s="1"/>
  <c r="H298" i="1"/>
  <c r="F298" i="1"/>
  <c r="G298" i="1" s="1"/>
  <c r="E298" i="1"/>
  <c r="F297" i="1"/>
  <c r="G297" i="1" s="1"/>
  <c r="E297" i="1"/>
  <c r="H297" i="1" s="1"/>
  <c r="F296" i="1"/>
  <c r="G296" i="1" s="1"/>
  <c r="E296" i="1"/>
  <c r="F295" i="1"/>
  <c r="G295" i="1" s="1"/>
  <c r="E295" i="1"/>
  <c r="F294" i="1"/>
  <c r="G294" i="1" s="1"/>
  <c r="E294" i="1"/>
  <c r="H294" i="1" s="1"/>
  <c r="F293" i="1"/>
  <c r="G293" i="1" s="1"/>
  <c r="E293" i="1"/>
  <c r="F292" i="1"/>
  <c r="E292" i="1"/>
  <c r="H292" i="1" s="1"/>
  <c r="F291" i="1"/>
  <c r="G291" i="1" s="1"/>
  <c r="E291" i="1"/>
  <c r="H291" i="1" s="1"/>
  <c r="F290" i="1"/>
  <c r="G290" i="1" s="1"/>
  <c r="E290" i="1"/>
  <c r="H290" i="1" s="1"/>
  <c r="F289" i="1"/>
  <c r="E289" i="1"/>
  <c r="H289" i="1" s="1"/>
  <c r="F288" i="1"/>
  <c r="G288" i="1" s="1"/>
  <c r="E288" i="1"/>
  <c r="H288" i="1" s="1"/>
  <c r="F287" i="1"/>
  <c r="G287" i="1" s="1"/>
  <c r="E287" i="1"/>
  <c r="F286" i="1"/>
  <c r="G286" i="1" s="1"/>
  <c r="E286" i="1"/>
  <c r="H286" i="1" s="1"/>
  <c r="H285" i="1"/>
  <c r="G285" i="1"/>
  <c r="F285" i="1"/>
  <c r="E285" i="1"/>
  <c r="F284" i="1"/>
  <c r="G284" i="1" s="1"/>
  <c r="E284" i="1"/>
  <c r="H284" i="1" s="1"/>
  <c r="H283" i="1"/>
  <c r="F283" i="1"/>
  <c r="E283" i="1"/>
  <c r="F282" i="1"/>
  <c r="G282" i="1" s="1"/>
  <c r="E282" i="1"/>
  <c r="H282" i="1" s="1"/>
  <c r="F281" i="1"/>
  <c r="G281" i="1" s="1"/>
  <c r="E281" i="1"/>
  <c r="H281" i="1" s="1"/>
  <c r="H280" i="1"/>
  <c r="F280" i="1"/>
  <c r="E280" i="1"/>
  <c r="H279" i="1"/>
  <c r="F279" i="1"/>
  <c r="G279" i="1" s="1"/>
  <c r="E279" i="1"/>
  <c r="F278" i="1"/>
  <c r="H278" i="1" s="1"/>
  <c r="E278" i="1"/>
  <c r="F277" i="1"/>
  <c r="E277" i="1"/>
  <c r="H277" i="1" s="1"/>
  <c r="F276" i="1"/>
  <c r="G276" i="1" s="1"/>
  <c r="E276" i="1"/>
  <c r="H276" i="1" s="1"/>
  <c r="G275" i="1"/>
  <c r="F275" i="1"/>
  <c r="E275" i="1"/>
  <c r="H275" i="1" s="1"/>
  <c r="F274" i="1"/>
  <c r="E274" i="1"/>
  <c r="H274" i="1" s="1"/>
  <c r="F273" i="1"/>
  <c r="G273" i="1" s="1"/>
  <c r="E273" i="1"/>
  <c r="H272" i="1"/>
  <c r="G272" i="1"/>
  <c r="F272" i="1"/>
  <c r="E272" i="1"/>
  <c r="H271" i="1"/>
  <c r="F271" i="1"/>
  <c r="E271" i="1"/>
  <c r="F270" i="1"/>
  <c r="G270" i="1" s="1"/>
  <c r="E270" i="1"/>
  <c r="H270" i="1" s="1"/>
  <c r="F269" i="1"/>
  <c r="G269" i="1" s="1"/>
  <c r="E269" i="1"/>
  <c r="H269" i="1" s="1"/>
  <c r="F268" i="1"/>
  <c r="E268" i="1"/>
  <c r="H268" i="1" s="1"/>
  <c r="F267" i="1"/>
  <c r="G267" i="1" s="1"/>
  <c r="E267" i="1"/>
  <c r="H267" i="1" s="1"/>
  <c r="F266" i="1"/>
  <c r="G266" i="1" s="1"/>
  <c r="E266" i="1"/>
  <c r="H266" i="1" s="1"/>
  <c r="F265" i="1"/>
  <c r="E265" i="1"/>
  <c r="H265" i="1" s="1"/>
  <c r="F264" i="1"/>
  <c r="G264" i="1" s="1"/>
  <c r="E264" i="1"/>
  <c r="H264" i="1" s="1"/>
  <c r="G263" i="1"/>
  <c r="F263" i="1"/>
  <c r="E263" i="1"/>
  <c r="H263" i="1" s="1"/>
  <c r="H262" i="1"/>
  <c r="F262" i="1"/>
  <c r="E262" i="1"/>
  <c r="F261" i="1"/>
  <c r="G261" i="1" s="1"/>
  <c r="E261" i="1"/>
  <c r="H261" i="1" s="1"/>
  <c r="F260" i="1"/>
  <c r="G260" i="1" s="1"/>
  <c r="E260" i="1"/>
  <c r="H260" i="1" s="1"/>
  <c r="F259" i="1"/>
  <c r="E259" i="1"/>
  <c r="H259" i="1" s="1"/>
  <c r="F258" i="1"/>
  <c r="G258" i="1" s="1"/>
  <c r="E258" i="1"/>
  <c r="H258" i="1" s="1"/>
  <c r="F257" i="1"/>
  <c r="G257" i="1" s="1"/>
  <c r="E257" i="1"/>
  <c r="H257" i="1" s="1"/>
  <c r="F256" i="1"/>
  <c r="E256" i="1"/>
  <c r="H256" i="1" s="1"/>
  <c r="F255" i="1"/>
  <c r="H255" i="1" s="1"/>
  <c r="E255" i="1"/>
  <c r="F254" i="1"/>
  <c r="G254" i="1" s="1"/>
  <c r="E254" i="1"/>
  <c r="H254" i="1" s="1"/>
  <c r="F253" i="1"/>
  <c r="G253" i="1" s="1"/>
  <c r="E253" i="1"/>
  <c r="F252" i="1"/>
  <c r="G252" i="1" s="1"/>
  <c r="E252" i="1"/>
  <c r="H252" i="1" s="1"/>
  <c r="F251" i="1"/>
  <c r="G251" i="1" s="1"/>
  <c r="E251" i="1"/>
  <c r="H251" i="1" s="1"/>
  <c r="H250" i="1"/>
  <c r="F250" i="1"/>
  <c r="G250" i="1" s="1"/>
  <c r="E250" i="1"/>
  <c r="H249" i="1"/>
  <c r="G249" i="1"/>
  <c r="F249" i="1"/>
  <c r="E249" i="1"/>
  <c r="H248" i="1"/>
  <c r="F248" i="1"/>
  <c r="G248" i="1" s="1"/>
  <c r="E248" i="1"/>
  <c r="F247" i="1"/>
  <c r="E247" i="1"/>
  <c r="H247" i="1" s="1"/>
  <c r="F246" i="1"/>
  <c r="G246" i="1" s="1"/>
  <c r="E246" i="1"/>
  <c r="H246" i="1" s="1"/>
  <c r="F245" i="1"/>
  <c r="G245" i="1" s="1"/>
  <c r="E245" i="1"/>
  <c r="F244" i="1"/>
  <c r="E244" i="1"/>
  <c r="H244" i="1" s="1"/>
  <c r="F243" i="1"/>
  <c r="G243" i="1" s="1"/>
  <c r="E243" i="1"/>
  <c r="H243" i="1" s="1"/>
  <c r="F242" i="1"/>
  <c r="H242" i="1" s="1"/>
  <c r="E242" i="1"/>
  <c r="F241" i="1"/>
  <c r="G241" i="1" s="1"/>
  <c r="E241" i="1"/>
  <c r="H241" i="1" s="1"/>
  <c r="F240" i="1"/>
  <c r="G240" i="1" s="1"/>
  <c r="E240" i="1"/>
  <c r="H240" i="1" s="1"/>
  <c r="F239" i="1"/>
  <c r="G239" i="1" s="1"/>
  <c r="E239" i="1"/>
  <c r="H239" i="1" s="1"/>
  <c r="F238" i="1"/>
  <c r="E238" i="1"/>
  <c r="H238" i="1" s="1"/>
  <c r="F237" i="1"/>
  <c r="G237" i="1" s="1"/>
  <c r="E237" i="1"/>
  <c r="H237" i="1" s="1"/>
  <c r="F236" i="1"/>
  <c r="G236" i="1" s="1"/>
  <c r="E236" i="1"/>
  <c r="H236" i="1" s="1"/>
  <c r="H235" i="1"/>
  <c r="F235" i="1"/>
  <c r="E235" i="1"/>
  <c r="F234" i="1"/>
  <c r="G234" i="1" s="1"/>
  <c r="E234" i="1"/>
  <c r="H234" i="1" s="1"/>
  <c r="F233" i="1"/>
  <c r="G233" i="1" s="1"/>
  <c r="E233" i="1"/>
  <c r="H232" i="1"/>
  <c r="F232" i="1"/>
  <c r="G232" i="1" s="1"/>
  <c r="E232" i="1"/>
  <c r="F231" i="1"/>
  <c r="G231" i="1" s="1"/>
  <c r="E231" i="1"/>
  <c r="H231" i="1" s="1"/>
  <c r="G230" i="1"/>
  <c r="F230" i="1"/>
  <c r="E230" i="1"/>
  <c r="H230" i="1" s="1"/>
  <c r="F229" i="1"/>
  <c r="E229" i="1"/>
  <c r="H229" i="1" s="1"/>
  <c r="F228" i="1"/>
  <c r="G228" i="1" s="1"/>
  <c r="E228" i="1"/>
  <c r="H228" i="1" s="1"/>
  <c r="G227" i="1"/>
  <c r="F227" i="1"/>
  <c r="E227" i="1"/>
  <c r="H227" i="1" s="1"/>
  <c r="H226" i="1"/>
  <c r="F226" i="1"/>
  <c r="E226" i="1"/>
  <c r="H225" i="1"/>
  <c r="F225" i="1"/>
  <c r="G225" i="1" s="1"/>
  <c r="E225" i="1"/>
  <c r="F224" i="1"/>
  <c r="G224" i="1" s="1"/>
  <c r="E224" i="1"/>
  <c r="H224" i="1" s="1"/>
  <c r="F223" i="1"/>
  <c r="E223" i="1"/>
  <c r="H223" i="1" s="1"/>
  <c r="F222" i="1"/>
  <c r="G222" i="1" s="1"/>
  <c r="E222" i="1"/>
  <c r="H222" i="1" s="1"/>
  <c r="F221" i="1"/>
  <c r="G221" i="1" s="1"/>
  <c r="E221" i="1"/>
  <c r="H221" i="1" s="1"/>
  <c r="F220" i="1"/>
  <c r="E220" i="1"/>
  <c r="H220" i="1" s="1"/>
  <c r="F219" i="1"/>
  <c r="H219" i="1" s="1"/>
  <c r="E219" i="1"/>
  <c r="G218" i="1"/>
  <c r="F218" i="1"/>
  <c r="E218" i="1"/>
  <c r="H218" i="1" s="1"/>
  <c r="H217" i="1"/>
  <c r="F217" i="1"/>
  <c r="E217" i="1"/>
  <c r="F216" i="1"/>
  <c r="G216" i="1" s="1"/>
  <c r="E216" i="1"/>
  <c r="H216" i="1" s="1"/>
  <c r="F215" i="1"/>
  <c r="G215" i="1" s="1"/>
  <c r="E215" i="1"/>
  <c r="H215" i="1" s="1"/>
  <c r="F214" i="1"/>
  <c r="E214" i="1"/>
  <c r="H214" i="1" s="1"/>
  <c r="F213" i="1"/>
  <c r="G213" i="1" s="1"/>
  <c r="E213" i="1"/>
  <c r="H213" i="1" s="1"/>
  <c r="H212" i="1"/>
  <c r="F212" i="1"/>
  <c r="G212" i="1" s="1"/>
  <c r="E212" i="1"/>
  <c r="F211" i="1"/>
  <c r="E211" i="1"/>
  <c r="H211" i="1" s="1"/>
  <c r="F210" i="1"/>
  <c r="G210" i="1" s="1"/>
  <c r="E210" i="1"/>
  <c r="H210" i="1" s="1"/>
  <c r="G209" i="1"/>
  <c r="F209" i="1"/>
  <c r="E209" i="1"/>
  <c r="H209" i="1" s="1"/>
  <c r="F208" i="1"/>
  <c r="E208" i="1"/>
  <c r="H208" i="1" s="1"/>
  <c r="G207" i="1"/>
  <c r="F207" i="1"/>
  <c r="E207" i="1"/>
  <c r="H207" i="1" s="1"/>
  <c r="F206" i="1"/>
  <c r="G206" i="1" s="1"/>
  <c r="E206" i="1"/>
  <c r="H206" i="1" s="1"/>
  <c r="F205" i="1"/>
  <c r="G205" i="1" s="1"/>
  <c r="E205" i="1"/>
  <c r="F204" i="1"/>
  <c r="G204" i="1" s="1"/>
  <c r="E204" i="1"/>
  <c r="H204" i="1" s="1"/>
  <c r="F203" i="1"/>
  <c r="G203" i="1" s="1"/>
  <c r="E203" i="1"/>
  <c r="H203" i="1" s="1"/>
  <c r="F202" i="1"/>
  <c r="G202" i="1" s="1"/>
  <c r="E202" i="1"/>
  <c r="H202" i="1" s="1"/>
  <c r="F201" i="1"/>
  <c r="G201" i="1" s="1"/>
  <c r="E201" i="1"/>
  <c r="H201" i="1" s="1"/>
  <c r="F200" i="1"/>
  <c r="G200" i="1" s="1"/>
  <c r="E200" i="1"/>
  <c r="F199" i="1"/>
  <c r="E199" i="1"/>
  <c r="H199" i="1" s="1"/>
  <c r="F198" i="1"/>
  <c r="G198" i="1" s="1"/>
  <c r="E198" i="1"/>
  <c r="H198" i="1" s="1"/>
  <c r="F197" i="1"/>
  <c r="G197" i="1" s="1"/>
  <c r="E197" i="1"/>
  <c r="H196" i="1"/>
  <c r="F196" i="1"/>
  <c r="G196" i="1" s="1"/>
  <c r="E196" i="1"/>
  <c r="G195" i="1"/>
  <c r="F195" i="1"/>
  <c r="E195" i="1"/>
  <c r="H195" i="1" s="1"/>
  <c r="H194" i="1"/>
  <c r="F194" i="1"/>
  <c r="G194" i="1" s="1"/>
  <c r="E194" i="1"/>
  <c r="F193" i="1"/>
  <c r="E193" i="1"/>
  <c r="H193" i="1" s="1"/>
  <c r="F192" i="1"/>
  <c r="G192" i="1" s="1"/>
  <c r="E192" i="1"/>
  <c r="H192" i="1" s="1"/>
  <c r="F191" i="1"/>
  <c r="G191" i="1" s="1"/>
  <c r="E191" i="1"/>
  <c r="H191" i="1" s="1"/>
  <c r="F190" i="1"/>
  <c r="E190" i="1"/>
  <c r="H190" i="1" s="1"/>
  <c r="H189" i="1"/>
  <c r="F189" i="1"/>
  <c r="G189" i="1" s="1"/>
  <c r="E189" i="1"/>
  <c r="F188" i="1"/>
  <c r="G188" i="1" s="1"/>
  <c r="E188" i="1"/>
  <c r="H188" i="1" s="1"/>
  <c r="H187" i="1"/>
  <c r="F187" i="1"/>
  <c r="G187" i="1" s="1"/>
  <c r="E187" i="1"/>
  <c r="F186" i="1"/>
  <c r="G186" i="1" s="1"/>
  <c r="E186" i="1"/>
  <c r="H186" i="1" s="1"/>
  <c r="F185" i="1"/>
  <c r="G185" i="1" s="1"/>
  <c r="E185" i="1"/>
  <c r="H185" i="1" s="1"/>
  <c r="H184" i="1"/>
  <c r="F184" i="1"/>
  <c r="E184" i="1"/>
  <c r="F183" i="1"/>
  <c r="G183" i="1" s="1"/>
  <c r="E183" i="1"/>
  <c r="H183" i="1" s="1"/>
  <c r="H182" i="1"/>
  <c r="G182" i="1"/>
  <c r="F182" i="1"/>
  <c r="E182" i="1"/>
  <c r="H181" i="1"/>
  <c r="F181" i="1"/>
  <c r="E181" i="1"/>
  <c r="F180" i="1"/>
  <c r="G180" i="1" s="1"/>
  <c r="E180" i="1"/>
  <c r="H180" i="1" s="1"/>
  <c r="F179" i="1"/>
  <c r="G179" i="1" s="1"/>
  <c r="E179" i="1"/>
  <c r="F178" i="1"/>
  <c r="E178" i="1"/>
  <c r="H178" i="1" s="1"/>
  <c r="F177" i="1"/>
  <c r="G177" i="1" s="1"/>
  <c r="E177" i="1"/>
  <c r="F176" i="1"/>
  <c r="G176" i="1" s="1"/>
  <c r="E176" i="1"/>
  <c r="H176" i="1" s="1"/>
  <c r="F175" i="1"/>
  <c r="E175" i="1"/>
  <c r="H175" i="1" s="1"/>
  <c r="F174" i="1"/>
  <c r="G174" i="1" s="1"/>
  <c r="E174" i="1"/>
  <c r="H174" i="1" s="1"/>
  <c r="G173" i="1"/>
  <c r="F173" i="1"/>
  <c r="E173" i="1"/>
  <c r="H173" i="1" s="1"/>
  <c r="H172" i="1"/>
  <c r="F172" i="1"/>
  <c r="E172" i="1"/>
  <c r="H171" i="1"/>
  <c r="F171" i="1"/>
  <c r="G171" i="1" s="1"/>
  <c r="E171" i="1"/>
  <c r="F170" i="1"/>
  <c r="G170" i="1" s="1"/>
  <c r="E170" i="1"/>
  <c r="H170" i="1" s="1"/>
  <c r="F169" i="1"/>
  <c r="E169" i="1"/>
  <c r="H169" i="1" s="1"/>
  <c r="F168" i="1"/>
  <c r="G168" i="1" s="1"/>
  <c r="E168" i="1"/>
  <c r="H168" i="1" s="1"/>
  <c r="F167" i="1"/>
  <c r="G167" i="1" s="1"/>
  <c r="E167" i="1"/>
  <c r="H167" i="1" s="1"/>
  <c r="F166" i="1"/>
  <c r="E166" i="1"/>
  <c r="H166" i="1" s="1"/>
  <c r="F165" i="1"/>
  <c r="G165" i="1" s="1"/>
  <c r="E165" i="1"/>
  <c r="H165" i="1" s="1"/>
  <c r="H164" i="1"/>
  <c r="G164" i="1"/>
  <c r="F164" i="1"/>
  <c r="E164" i="1"/>
  <c r="F163" i="1"/>
  <c r="E163" i="1"/>
  <c r="H163" i="1" s="1"/>
  <c r="F162" i="1"/>
  <c r="G162" i="1" s="1"/>
  <c r="E162" i="1"/>
  <c r="H162" i="1" s="1"/>
  <c r="F161" i="1"/>
  <c r="G161" i="1" s="1"/>
  <c r="E161" i="1"/>
  <c r="H161" i="1" s="1"/>
  <c r="F160" i="1"/>
  <c r="E160" i="1"/>
  <c r="H160" i="1" s="1"/>
  <c r="H159" i="1"/>
  <c r="G159" i="1"/>
  <c r="F159" i="1"/>
  <c r="E159" i="1"/>
  <c r="H158" i="1"/>
  <c r="F158" i="1"/>
  <c r="G158" i="1" s="1"/>
  <c r="E158" i="1"/>
  <c r="F157" i="1"/>
  <c r="G157" i="1" s="1"/>
  <c r="E157" i="1"/>
  <c r="H157" i="1" s="1"/>
  <c r="F156" i="1"/>
  <c r="G156" i="1" s="1"/>
  <c r="E156" i="1"/>
  <c r="H156" i="1" s="1"/>
  <c r="F155" i="1"/>
  <c r="G155" i="1" s="1"/>
  <c r="E155" i="1"/>
  <c r="H155" i="1" s="1"/>
  <c r="H154" i="1"/>
  <c r="F154" i="1"/>
  <c r="G154" i="1" s="1"/>
  <c r="E154" i="1"/>
  <c r="F153" i="1"/>
  <c r="G153" i="1" s="1"/>
  <c r="E153" i="1"/>
  <c r="H153" i="1" s="1"/>
  <c r="F152" i="1"/>
  <c r="G152" i="1" s="1"/>
  <c r="E152" i="1"/>
  <c r="F151" i="1"/>
  <c r="G151" i="1" s="1"/>
  <c r="E151" i="1"/>
  <c r="F150" i="1"/>
  <c r="G150" i="1" s="1"/>
  <c r="E150" i="1"/>
  <c r="H150" i="1" s="1"/>
  <c r="F149" i="1"/>
  <c r="G149" i="1" s="1"/>
  <c r="E149" i="1"/>
  <c r="F148" i="1"/>
  <c r="E148" i="1"/>
  <c r="H148" i="1" s="1"/>
  <c r="F147" i="1"/>
  <c r="G147" i="1" s="1"/>
  <c r="E147" i="1"/>
  <c r="H147" i="1" s="1"/>
  <c r="F146" i="1"/>
  <c r="G146" i="1" s="1"/>
  <c r="E146" i="1"/>
  <c r="H146" i="1" s="1"/>
  <c r="F145" i="1"/>
  <c r="E145" i="1"/>
  <c r="H145" i="1" s="1"/>
  <c r="F144" i="1"/>
  <c r="G144" i="1" s="1"/>
  <c r="E144" i="1"/>
  <c r="H144" i="1" s="1"/>
  <c r="F143" i="1"/>
  <c r="G143" i="1" s="1"/>
  <c r="E143" i="1"/>
  <c r="F142" i="1"/>
  <c r="G142" i="1" s="1"/>
  <c r="E142" i="1"/>
  <c r="H142" i="1" s="1"/>
  <c r="H141" i="1"/>
  <c r="G141" i="1"/>
  <c r="F141" i="1"/>
  <c r="E141" i="1"/>
  <c r="F140" i="1"/>
  <c r="G140" i="1" s="1"/>
  <c r="E140" i="1"/>
  <c r="H140" i="1" s="1"/>
  <c r="H139" i="1"/>
  <c r="F139" i="1"/>
  <c r="E139" i="1"/>
  <c r="F138" i="1"/>
  <c r="G138" i="1" s="1"/>
  <c r="E138" i="1"/>
  <c r="H138" i="1" s="1"/>
  <c r="F137" i="1"/>
  <c r="G137" i="1" s="1"/>
  <c r="E137" i="1"/>
  <c r="H137" i="1" s="1"/>
  <c r="H136" i="1"/>
  <c r="F136" i="1"/>
  <c r="E136" i="1"/>
  <c r="H135" i="1"/>
  <c r="F135" i="1"/>
  <c r="G135" i="1" s="1"/>
  <c r="E135" i="1"/>
  <c r="F134" i="1"/>
  <c r="H134" i="1" s="1"/>
  <c r="E134" i="1"/>
  <c r="F133" i="1"/>
  <c r="E133" i="1"/>
  <c r="H133" i="1" s="1"/>
  <c r="F132" i="1"/>
  <c r="G132" i="1" s="1"/>
  <c r="E132" i="1"/>
  <c r="H132" i="1" s="1"/>
  <c r="G131" i="1"/>
  <c r="F131" i="1"/>
  <c r="E131" i="1"/>
  <c r="H131" i="1" s="1"/>
  <c r="F130" i="1"/>
  <c r="E130" i="1"/>
  <c r="H130" i="1" s="1"/>
  <c r="F129" i="1"/>
  <c r="G129" i="1" s="1"/>
  <c r="E129" i="1"/>
  <c r="H128" i="1"/>
  <c r="G128" i="1"/>
  <c r="F128" i="1"/>
  <c r="E128" i="1"/>
  <c r="H127" i="1"/>
  <c r="F127" i="1"/>
  <c r="E127" i="1"/>
  <c r="F126" i="1"/>
  <c r="G126" i="1" s="1"/>
  <c r="E126" i="1"/>
  <c r="H126" i="1" s="1"/>
  <c r="F125" i="1"/>
  <c r="G125" i="1" s="1"/>
  <c r="E125" i="1"/>
  <c r="H125" i="1" s="1"/>
  <c r="F124" i="1"/>
  <c r="E124" i="1"/>
  <c r="H124" i="1" s="1"/>
  <c r="F123" i="1"/>
  <c r="G123" i="1" s="1"/>
  <c r="E123" i="1"/>
  <c r="H123" i="1" s="1"/>
  <c r="F122" i="1"/>
  <c r="G122" i="1" s="1"/>
  <c r="E122" i="1"/>
  <c r="H122" i="1" s="1"/>
  <c r="F121" i="1"/>
  <c r="E121" i="1"/>
  <c r="H121" i="1" s="1"/>
  <c r="F120" i="1"/>
  <c r="G120" i="1" s="1"/>
  <c r="E120" i="1"/>
  <c r="H120" i="1" s="1"/>
  <c r="G119" i="1"/>
  <c r="F119" i="1"/>
  <c r="E119" i="1"/>
  <c r="H119" i="1" s="1"/>
  <c r="H118" i="1"/>
  <c r="F118" i="1"/>
  <c r="E118" i="1"/>
  <c r="F117" i="1"/>
  <c r="G117" i="1" s="1"/>
  <c r="E117" i="1"/>
  <c r="H117" i="1" s="1"/>
  <c r="F116" i="1"/>
  <c r="G116" i="1" s="1"/>
  <c r="E116" i="1"/>
  <c r="H116" i="1" s="1"/>
  <c r="F115" i="1"/>
  <c r="E115" i="1"/>
  <c r="H115" i="1" s="1"/>
  <c r="F114" i="1"/>
  <c r="G114" i="1" s="1"/>
  <c r="E114" i="1"/>
  <c r="H114" i="1" s="1"/>
  <c r="F113" i="1"/>
  <c r="G113" i="1" s="1"/>
  <c r="E113" i="1"/>
  <c r="H113" i="1" s="1"/>
  <c r="F112" i="1"/>
  <c r="E112" i="1"/>
  <c r="H112" i="1" s="1"/>
  <c r="G111" i="1"/>
  <c r="F111" i="1"/>
  <c r="H111" i="1" s="1"/>
  <c r="E111" i="1"/>
  <c r="F110" i="1"/>
  <c r="G110" i="1" s="1"/>
  <c r="E110" i="1"/>
  <c r="H110" i="1" s="1"/>
  <c r="F109" i="1"/>
  <c r="G109" i="1" s="1"/>
  <c r="E109" i="1"/>
  <c r="F108" i="1"/>
  <c r="G108" i="1" s="1"/>
  <c r="E108" i="1"/>
  <c r="H108" i="1" s="1"/>
  <c r="F107" i="1"/>
  <c r="G107" i="1" s="1"/>
  <c r="E107" i="1"/>
  <c r="H107" i="1" s="1"/>
  <c r="H106" i="1"/>
  <c r="F106" i="1"/>
  <c r="G106" i="1" s="1"/>
  <c r="E106" i="1"/>
  <c r="H105" i="1"/>
  <c r="G105" i="1"/>
  <c r="F105" i="1"/>
  <c r="E105" i="1"/>
  <c r="H104" i="1"/>
  <c r="F104" i="1"/>
  <c r="G104" i="1" s="1"/>
  <c r="E104" i="1"/>
  <c r="F103" i="1"/>
  <c r="E103" i="1"/>
  <c r="H103" i="1" s="1"/>
  <c r="F102" i="1"/>
  <c r="G102" i="1" s="1"/>
  <c r="E102" i="1"/>
  <c r="H102" i="1" s="1"/>
  <c r="F101" i="1"/>
  <c r="G101" i="1" s="1"/>
  <c r="E101" i="1"/>
  <c r="F100" i="1"/>
  <c r="E100" i="1"/>
  <c r="H100" i="1" s="1"/>
  <c r="F99" i="1"/>
  <c r="G99" i="1" s="1"/>
  <c r="E99" i="1"/>
  <c r="H99" i="1" s="1"/>
  <c r="F98" i="1"/>
  <c r="H98" i="1" s="1"/>
  <c r="E98" i="1"/>
  <c r="F97" i="1"/>
  <c r="G97" i="1" s="1"/>
  <c r="E97" i="1"/>
  <c r="H97" i="1" s="1"/>
  <c r="F96" i="1"/>
  <c r="G96" i="1" s="1"/>
  <c r="E96" i="1"/>
  <c r="H96" i="1" s="1"/>
  <c r="F95" i="1"/>
  <c r="G95" i="1" s="1"/>
  <c r="E95" i="1"/>
  <c r="H95" i="1" s="1"/>
  <c r="F94" i="1"/>
  <c r="E94" i="1"/>
  <c r="H94" i="1" s="1"/>
  <c r="F93" i="1"/>
  <c r="G93" i="1" s="1"/>
  <c r="E93" i="1"/>
  <c r="H93" i="1" s="1"/>
  <c r="F92" i="1"/>
  <c r="G92" i="1" s="1"/>
  <c r="E92" i="1"/>
  <c r="H92" i="1" s="1"/>
  <c r="H91" i="1"/>
  <c r="F91" i="1"/>
  <c r="E91" i="1"/>
  <c r="F90" i="1"/>
  <c r="G90" i="1" s="1"/>
  <c r="E90" i="1"/>
  <c r="H90" i="1" s="1"/>
  <c r="F89" i="1"/>
  <c r="G89" i="1" s="1"/>
  <c r="E89" i="1"/>
  <c r="H88" i="1"/>
  <c r="F88" i="1"/>
  <c r="G88" i="1" s="1"/>
  <c r="E88" i="1"/>
  <c r="F87" i="1"/>
  <c r="G87" i="1" s="1"/>
  <c r="E87" i="1"/>
  <c r="H87" i="1" s="1"/>
  <c r="G86" i="1"/>
  <c r="F86" i="1"/>
  <c r="E86" i="1"/>
  <c r="H86" i="1" s="1"/>
  <c r="F85" i="1"/>
  <c r="E85" i="1"/>
  <c r="H85" i="1" s="1"/>
  <c r="F84" i="1"/>
  <c r="G84" i="1" s="1"/>
  <c r="E84" i="1"/>
  <c r="H84" i="1" s="1"/>
  <c r="G83" i="1"/>
  <c r="F83" i="1"/>
  <c r="E83" i="1"/>
  <c r="H83" i="1" s="1"/>
  <c r="H82" i="1"/>
  <c r="F82" i="1"/>
  <c r="E82" i="1"/>
  <c r="H81" i="1"/>
  <c r="F81" i="1"/>
  <c r="G81" i="1" s="1"/>
  <c r="E81" i="1"/>
  <c r="F80" i="1"/>
  <c r="G80" i="1" s="1"/>
  <c r="E80" i="1"/>
  <c r="H80" i="1" s="1"/>
  <c r="F79" i="1"/>
  <c r="E79" i="1"/>
  <c r="H79" i="1" s="1"/>
  <c r="F78" i="1"/>
  <c r="G78" i="1" s="1"/>
  <c r="E78" i="1"/>
  <c r="H78" i="1" s="1"/>
  <c r="F77" i="1"/>
  <c r="G77" i="1" s="1"/>
  <c r="E77" i="1"/>
  <c r="H77" i="1" s="1"/>
  <c r="F76" i="1"/>
  <c r="E76" i="1"/>
  <c r="H76" i="1" s="1"/>
  <c r="F75" i="1"/>
  <c r="H75" i="1" s="1"/>
  <c r="E75" i="1"/>
  <c r="G74" i="1"/>
  <c r="F74" i="1"/>
  <c r="E74" i="1"/>
  <c r="H74" i="1" s="1"/>
  <c r="H73" i="1"/>
  <c r="F73" i="1"/>
  <c r="E73" i="1"/>
  <c r="F72" i="1"/>
  <c r="G72" i="1" s="1"/>
  <c r="E72" i="1"/>
  <c r="H72" i="1" s="1"/>
  <c r="F71" i="1"/>
  <c r="G71" i="1" s="1"/>
  <c r="E71" i="1"/>
  <c r="H71" i="1" s="1"/>
  <c r="F70" i="1"/>
  <c r="E70" i="1"/>
  <c r="H70" i="1" s="1"/>
  <c r="F69" i="1"/>
  <c r="G69" i="1" s="1"/>
  <c r="E69" i="1"/>
  <c r="H69" i="1" s="1"/>
  <c r="H68" i="1"/>
  <c r="F68" i="1"/>
  <c r="G68" i="1" s="1"/>
  <c r="E68" i="1"/>
  <c r="F67" i="1"/>
  <c r="E67" i="1"/>
  <c r="H67" i="1" s="1"/>
  <c r="F66" i="1"/>
  <c r="G66" i="1" s="1"/>
  <c r="E66" i="1"/>
  <c r="H66" i="1" s="1"/>
  <c r="G65" i="1"/>
  <c r="F65" i="1"/>
  <c r="E65" i="1"/>
  <c r="H65" i="1" s="1"/>
  <c r="F64" i="1"/>
  <c r="E64" i="1"/>
  <c r="H64" i="1" s="1"/>
  <c r="G63" i="1"/>
  <c r="F63" i="1"/>
  <c r="E63" i="1"/>
  <c r="H63" i="1" s="1"/>
  <c r="F62" i="1"/>
  <c r="G62" i="1" s="1"/>
  <c r="E62" i="1"/>
  <c r="H62" i="1" s="1"/>
  <c r="F61" i="1"/>
  <c r="G61" i="1" s="1"/>
  <c r="E61" i="1"/>
  <c r="F60" i="1"/>
  <c r="G60" i="1" s="1"/>
  <c r="E60" i="1"/>
  <c r="H60" i="1" s="1"/>
  <c r="F59" i="1"/>
  <c r="G59" i="1" s="1"/>
  <c r="E59" i="1"/>
  <c r="H59" i="1" s="1"/>
  <c r="F58" i="1"/>
  <c r="G58" i="1" s="1"/>
  <c r="E58" i="1"/>
  <c r="H58" i="1" s="1"/>
  <c r="F57" i="1"/>
  <c r="G57" i="1" s="1"/>
  <c r="E57" i="1"/>
  <c r="H57" i="1" s="1"/>
  <c r="F56" i="1"/>
  <c r="G56" i="1" s="1"/>
  <c r="E56" i="1"/>
  <c r="F55" i="1"/>
  <c r="E55" i="1"/>
  <c r="H55" i="1" s="1"/>
  <c r="F54" i="1"/>
  <c r="G54" i="1" s="1"/>
  <c r="E54" i="1"/>
  <c r="H54" i="1" s="1"/>
  <c r="F53" i="1"/>
  <c r="G53" i="1" s="1"/>
  <c r="E53" i="1"/>
  <c r="H52" i="1"/>
  <c r="F52" i="1"/>
  <c r="G52" i="1" s="1"/>
  <c r="E52" i="1"/>
  <c r="G51" i="1"/>
  <c r="F51" i="1"/>
  <c r="E51" i="1"/>
  <c r="H51" i="1" s="1"/>
  <c r="H50" i="1"/>
  <c r="F50" i="1"/>
  <c r="G50" i="1" s="1"/>
  <c r="E50" i="1"/>
  <c r="F49" i="1"/>
  <c r="E49" i="1"/>
  <c r="H49" i="1" s="1"/>
  <c r="F48" i="1"/>
  <c r="G48" i="1" s="1"/>
  <c r="E48" i="1"/>
  <c r="H48" i="1" s="1"/>
  <c r="F47" i="1"/>
  <c r="G47" i="1" s="1"/>
  <c r="E47" i="1"/>
  <c r="H47" i="1" s="1"/>
  <c r="F46" i="1"/>
  <c r="E46" i="1"/>
  <c r="H46" i="1" s="1"/>
  <c r="H45" i="1"/>
  <c r="F45" i="1"/>
  <c r="G45" i="1" s="1"/>
  <c r="E45" i="1"/>
  <c r="F44" i="1"/>
  <c r="G44" i="1" s="1"/>
  <c r="E44" i="1"/>
  <c r="H44" i="1" s="1"/>
  <c r="F43" i="1"/>
  <c r="G43" i="1" s="1"/>
  <c r="E43" i="1"/>
  <c r="F42" i="1"/>
  <c r="G42" i="1" s="1"/>
  <c r="E42" i="1"/>
  <c r="H42" i="1" s="1"/>
  <c r="F41" i="1"/>
  <c r="G41" i="1" s="1"/>
  <c r="E41" i="1"/>
  <c r="H41" i="1" s="1"/>
  <c r="H40" i="1"/>
  <c r="F40" i="1"/>
  <c r="E40" i="1"/>
  <c r="F39" i="1"/>
  <c r="G39" i="1" s="1"/>
  <c r="E39" i="1"/>
  <c r="H39" i="1" s="1"/>
  <c r="H38" i="1"/>
  <c r="G38" i="1"/>
  <c r="F38" i="1"/>
  <c r="E38" i="1"/>
  <c r="H37" i="1"/>
  <c r="F37" i="1"/>
  <c r="E37" i="1"/>
  <c r="F36" i="1"/>
  <c r="G36" i="1" s="1"/>
  <c r="E36" i="1"/>
  <c r="H36" i="1" s="1"/>
  <c r="F35" i="1"/>
  <c r="G35" i="1" s="1"/>
  <c r="E35" i="1"/>
  <c r="F34" i="1"/>
  <c r="E34" i="1"/>
  <c r="H34" i="1" s="1"/>
  <c r="F33" i="1"/>
  <c r="G33" i="1" s="1"/>
  <c r="E33" i="1"/>
  <c r="F32" i="1"/>
  <c r="G32" i="1" s="1"/>
  <c r="E32" i="1"/>
  <c r="H32" i="1" s="1"/>
  <c r="F31" i="1"/>
  <c r="E31" i="1"/>
  <c r="H31" i="1" s="1"/>
  <c r="F30" i="1"/>
  <c r="G30" i="1" s="1"/>
  <c r="E30" i="1"/>
  <c r="H30" i="1" s="1"/>
  <c r="G29" i="1"/>
  <c r="F29" i="1"/>
  <c r="E29" i="1"/>
  <c r="H29" i="1" s="1"/>
  <c r="H28" i="1"/>
  <c r="F28" i="1"/>
  <c r="E28" i="1"/>
  <c r="H27" i="1"/>
  <c r="F27" i="1"/>
  <c r="G27" i="1" s="1"/>
  <c r="E27" i="1"/>
  <c r="F26" i="1"/>
  <c r="G26" i="1" s="1"/>
  <c r="E26" i="1"/>
  <c r="H26" i="1" s="1"/>
  <c r="F25" i="1"/>
  <c r="E25" i="1"/>
  <c r="H25" i="1" s="1"/>
  <c r="F24" i="1"/>
  <c r="G24" i="1" s="1"/>
  <c r="E24" i="1"/>
  <c r="H24" i="1" s="1"/>
  <c r="F23" i="1"/>
  <c r="G23" i="1" s="1"/>
  <c r="E23" i="1"/>
  <c r="H23" i="1" s="1"/>
  <c r="F22" i="1"/>
  <c r="E22" i="1"/>
  <c r="H22" i="1" s="1"/>
  <c r="F21" i="1"/>
  <c r="G21" i="1" s="1"/>
  <c r="E21" i="1"/>
  <c r="H21" i="1" s="1"/>
  <c r="H20" i="1"/>
  <c r="G20" i="1"/>
  <c r="F20" i="1"/>
  <c r="E20" i="1"/>
  <c r="F19" i="1"/>
  <c r="E19" i="1"/>
  <c r="H19" i="1" s="1"/>
  <c r="F18" i="1"/>
  <c r="E18" i="1"/>
  <c r="H18" i="1" s="1"/>
  <c r="F17" i="1"/>
  <c r="G17" i="1" s="1"/>
  <c r="E17" i="1"/>
  <c r="H17" i="1" s="1"/>
  <c r="F16" i="1"/>
  <c r="G16" i="1" s="1"/>
  <c r="E16" i="1"/>
  <c r="H16" i="1" s="1"/>
  <c r="H15" i="1"/>
  <c r="F15" i="1"/>
  <c r="G15" i="1" s="1"/>
  <c r="E15" i="1"/>
  <c r="N14" i="1"/>
  <c r="G14" i="1"/>
  <c r="F14" i="1"/>
  <c r="E14" i="1"/>
  <c r="H14" i="1" s="1"/>
  <c r="H13" i="1"/>
  <c r="F13" i="1"/>
  <c r="G13" i="1" s="1"/>
  <c r="E13" i="1"/>
  <c r="F12" i="1"/>
  <c r="E12" i="1"/>
  <c r="H12" i="1" s="1"/>
  <c r="H11" i="1"/>
  <c r="G11" i="1"/>
  <c r="F11" i="1"/>
  <c r="E11" i="1"/>
  <c r="F10" i="1"/>
  <c r="G10" i="1" s="1"/>
  <c r="E10" i="1"/>
  <c r="H10" i="1" s="1"/>
  <c r="F9" i="1"/>
  <c r="H9" i="1" s="1"/>
  <c r="E9" i="1"/>
  <c r="H8" i="1"/>
  <c r="G8" i="1"/>
  <c r="F8" i="1"/>
  <c r="E8" i="1"/>
  <c r="H7" i="1"/>
  <c r="F7" i="1"/>
  <c r="G7" i="1" s="1"/>
  <c r="E7" i="1"/>
  <c r="F6" i="1"/>
  <c r="G6" i="1" s="1"/>
  <c r="E6" i="1"/>
  <c r="H5" i="1"/>
  <c r="G5" i="1"/>
  <c r="F5" i="1"/>
  <c r="E5" i="1"/>
  <c r="G22" i="1" l="1"/>
  <c r="G75" i="1"/>
  <c r="G98" i="1"/>
  <c r="G121" i="1"/>
  <c r="H151" i="1"/>
  <c r="G166" i="1"/>
  <c r="G219" i="1"/>
  <c r="G242" i="1"/>
  <c r="G265" i="1"/>
  <c r="H295" i="1"/>
  <c r="G310" i="1"/>
  <c r="G333" i="1"/>
  <c r="G341" i="1"/>
  <c r="G357" i="1"/>
  <c r="G365" i="1"/>
  <c r="G381" i="1"/>
  <c r="G389" i="1"/>
  <c r="G405" i="1"/>
  <c r="H53" i="1"/>
  <c r="G91" i="1"/>
  <c r="G136" i="1"/>
  <c r="H197" i="1"/>
  <c r="G235" i="1"/>
  <c r="G280" i="1"/>
  <c r="G413" i="1"/>
  <c r="G25" i="1"/>
  <c r="G70" i="1"/>
  <c r="G169" i="1"/>
  <c r="G214" i="1"/>
  <c r="G313" i="1"/>
  <c r="G40" i="1"/>
  <c r="H101" i="1"/>
  <c r="G139" i="1"/>
  <c r="G184" i="1"/>
  <c r="H245" i="1"/>
  <c r="G283" i="1"/>
  <c r="G328" i="1"/>
  <c r="G352" i="1"/>
  <c r="G376" i="1"/>
  <c r="G400" i="1"/>
  <c r="G406" i="1"/>
  <c r="H129" i="1"/>
  <c r="H273" i="1"/>
  <c r="H296" i="1"/>
  <c r="G343" i="1"/>
  <c r="G160" i="1"/>
  <c r="G304" i="1"/>
  <c r="G415" i="1"/>
  <c r="G55" i="1"/>
  <c r="G223" i="1"/>
  <c r="G268" i="1"/>
  <c r="H361" i="1"/>
  <c r="H56" i="1"/>
  <c r="H177" i="1"/>
  <c r="H200" i="1"/>
  <c r="G329" i="1"/>
  <c r="G401" i="1"/>
  <c r="G19" i="1"/>
  <c r="G64" i="1"/>
  <c r="G163" i="1"/>
  <c r="G208" i="1"/>
  <c r="G307" i="1"/>
  <c r="G12" i="1"/>
  <c r="G34" i="1"/>
  <c r="G133" i="1"/>
  <c r="G178" i="1"/>
  <c r="G277" i="1"/>
  <c r="G322" i="1"/>
  <c r="G383" i="1"/>
  <c r="G103" i="1"/>
  <c r="G148" i="1"/>
  <c r="G247" i="1"/>
  <c r="G292" i="1"/>
  <c r="G346" i="1"/>
  <c r="G370" i="1"/>
  <c r="G394" i="1"/>
  <c r="G9" i="1"/>
  <c r="H61" i="1"/>
  <c r="G76" i="1"/>
  <c r="G382" i="1"/>
  <c r="G46" i="1"/>
  <c r="H152" i="1"/>
  <c r="G259" i="1"/>
  <c r="G85" i="1"/>
  <c r="G229" i="1"/>
  <c r="G359" i="1"/>
  <c r="H109" i="1"/>
  <c r="G124" i="1"/>
  <c r="G321" i="1"/>
  <c r="G409" i="1"/>
  <c r="G193" i="1"/>
  <c r="G238" i="1"/>
  <c r="H6" i="1"/>
  <c r="N18" i="1" s="1"/>
  <c r="H35" i="1"/>
  <c r="G73" i="1"/>
  <c r="G118" i="1"/>
  <c r="H179" i="1"/>
  <c r="G217" i="1"/>
  <c r="G262" i="1"/>
  <c r="H323" i="1"/>
  <c r="G331" i="1"/>
  <c r="G355" i="1"/>
  <c r="G379" i="1"/>
  <c r="G403" i="1"/>
  <c r="G418" i="1"/>
  <c r="H149" i="1"/>
  <c r="H293" i="1"/>
  <c r="H347" i="1"/>
  <c r="H371" i="1"/>
  <c r="H43" i="1"/>
  <c r="G134" i="1"/>
  <c r="G255" i="1"/>
  <c r="G278" i="1"/>
  <c r="G387" i="1"/>
  <c r="G31" i="1"/>
  <c r="N16" i="1" s="1"/>
  <c r="H205" i="1"/>
  <c r="G220" i="1"/>
  <c r="G319" i="1"/>
  <c r="G334" i="1"/>
  <c r="G358" i="1"/>
  <c r="G190" i="1"/>
  <c r="G289" i="1"/>
  <c r="G130" i="1"/>
  <c r="G335" i="1"/>
  <c r="G100" i="1"/>
  <c r="G79" i="1"/>
  <c r="H337" i="1"/>
  <c r="H33" i="1"/>
  <c r="G353" i="1"/>
  <c r="G28" i="1"/>
  <c r="H89" i="1"/>
  <c r="G127" i="1"/>
  <c r="G172" i="1"/>
  <c r="H233" i="1"/>
  <c r="G271" i="1"/>
  <c r="G316" i="1"/>
  <c r="H385" i="1"/>
  <c r="G367" i="1"/>
  <c r="G377" i="1"/>
  <c r="G67" i="1"/>
  <c r="G112" i="1"/>
  <c r="G211" i="1"/>
  <c r="G256" i="1"/>
  <c r="G340" i="1"/>
  <c r="G364" i="1"/>
  <c r="G388" i="1"/>
  <c r="G175" i="1"/>
  <c r="G145" i="1"/>
  <c r="G391" i="1"/>
  <c r="G115" i="1"/>
  <c r="G274" i="1"/>
  <c r="G199" i="1"/>
  <c r="G244" i="1"/>
  <c r="H253" i="1"/>
  <c r="G49" i="1"/>
  <c r="G94" i="1"/>
  <c r="G37" i="1"/>
  <c r="G82" i="1"/>
  <c r="H143" i="1"/>
  <c r="G181" i="1"/>
  <c r="G226" i="1"/>
  <c r="H287" i="1"/>
  <c r="G325" i="1"/>
  <c r="G349" i="1"/>
  <c r="G373" i="1"/>
  <c r="G397" i="1"/>
  <c r="G412" i="1"/>
  <c r="G18" i="1"/>
</calcChain>
</file>

<file path=xl/sharedStrings.xml><?xml version="1.0" encoding="utf-8"?>
<sst xmlns="http://schemas.openxmlformats.org/spreadsheetml/2006/main" count="52" uniqueCount="46">
  <si>
    <t>Swirltubs Inventory Optimization Model</t>
  </si>
  <si>
    <t>Parameter</t>
  </si>
  <si>
    <t>Value</t>
  </si>
  <si>
    <t>Unit</t>
  </si>
  <si>
    <t>Description</t>
  </si>
  <si>
    <t>Part-Level Inputs: Cost, Size, Usage, and Savings</t>
  </si>
  <si>
    <t>Technician Rate</t>
  </si>
  <si>
    <t>$50.00</t>
  </si>
  <si>
    <t>per hour</t>
  </si>
  <si>
    <t>Technician labor cost used to calculate revisit cost</t>
  </si>
  <si>
    <t>Part Num</t>
  </si>
  <si>
    <t>Part Size</t>
  </si>
  <si>
    <t>Cost</t>
  </si>
  <si>
    <t>Annual Use</t>
  </si>
  <si>
    <t>Holding Cost</t>
  </si>
  <si>
    <t>Revisit Cost</t>
  </si>
  <si>
    <t>Net Savings</t>
  </si>
  <si>
    <t>Total Cost</t>
  </si>
  <si>
    <t>Decision (0 or 1)</t>
  </si>
  <si>
    <t>Revisit Time</t>
  </si>
  <si>
    <t>minutes</t>
  </si>
  <si>
    <t>Assumed time spent per revisit</t>
  </si>
  <si>
    <t>$25.00</t>
  </si>
  <si>
    <t>per revisit</t>
  </si>
  <si>
    <t>0.5 × Technician Rate</t>
  </si>
  <si>
    <t>Holding Rate</t>
  </si>
  <si>
    <t>annual</t>
  </si>
  <si>
    <t>Annual inventory holding cost as % of part cost</t>
  </si>
  <si>
    <t>Truck Capacity</t>
  </si>
  <si>
    <t>cubic feet</t>
  </si>
  <si>
    <t>Maximum storage space per technician truck</t>
  </si>
  <si>
    <t>Revisit Cost Formula</t>
  </si>
  <si>
    <t>50*0.5</t>
  </si>
  <si>
    <t>Basis for setting revisit cost</t>
  </si>
  <si>
    <t>Holding Cost Formula</t>
  </si>
  <si>
    <t>0.25*cost</t>
  </si>
  <si>
    <t>Basis for computing annual holding cost for each part</t>
  </si>
  <si>
    <t>Space Constraint</t>
  </si>
  <si>
    <t>Total space</t>
  </si>
  <si>
    <t>&lt;=</t>
  </si>
  <si>
    <t>Total Net Savings</t>
  </si>
  <si>
    <t>Part num</t>
  </si>
  <si>
    <t>Part Size (Ft^3)</t>
  </si>
  <si>
    <t>Part cost</t>
  </si>
  <si>
    <t>Avg Annual Use</t>
  </si>
  <si>
    <t>Opt1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</si>
</sst>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_(* #,##0.00_);_(* \(#,##0.00\);_(* &quot;-&quot;??_);_(@_)"/>
    <numFmt numFmtId="166" formatCode="_(&quot;$&quot;* #,##0.00_);_(&quot;$&quot;* \(#,##0.00\);_(&quot;$&quot;* &quot;-&quot;??_);_(@_)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165" fontId="2" fillId="0" borderId="0" xfId="0" applyNumberFormat="1" applyFont="1"/>
    <xf numFmtId="166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2" fillId="2" borderId="1" xfId="0" applyFont="1" applyFill="1" applyBorder="1"/>
    <xf numFmtId="165" fontId="2" fillId="2" borderId="1" xfId="0" applyNumberFormat="1" applyFont="1" applyFill="1" applyBorder="1"/>
    <xf numFmtId="166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942975" cy="75285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74513" y="0"/>
          <a:ext cx="942975" cy="7560000"/>
        </a:xfrm>
        <a:prstGeom prst="rect">
          <a:avLst/>
        </a:prstGeom>
        <a:solidFill>
          <a:srgbClr val="FF00FF">
            <a:alpha val="40000"/>
          </a:srgbClr>
        </a:solidFill>
        <a:ln>
          <a:noFill/>
        </a:ln>
      </xdr:spPr>
      <xdr:txBody>
        <a:bodyPr spcFirstLastPara="1" wrap="square" lIns="25400" tIns="2540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FF"/>
            </a:solidFill>
          </a:endParaRPr>
        </a:p>
      </xdr:txBody>
    </xdr:sp>
    <xdr:clientData fLocksWithSheet="0"/>
  </xdr:oneCellAnchor>
  <xdr:oneCellAnchor>
    <xdr:from>
      <xdr:col>13</xdr:col>
      <xdr:colOff>-9525</xdr:colOff>
      <xdr:row>15</xdr:row>
      <xdr:rowOff>-9525</xdr:rowOff>
    </xdr:from>
    <xdr:ext cx="742950" cy="200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984050" y="3689513"/>
          <a:ext cx="723900" cy="180975"/>
        </a:xfrm>
        <a:prstGeom prst="rect">
          <a:avLst/>
        </a:prstGeom>
        <a:noFill/>
        <a:ln w="25400" cap="flat" cmpd="sng">
          <a:solidFill>
            <a:srgbClr val="FF00F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5400" tIns="2540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FF"/>
            </a:solidFill>
          </a:endParaRPr>
        </a:p>
      </xdr:txBody>
    </xdr:sp>
    <xdr:clientData fLocksWithSheet="0"/>
  </xdr:oneCellAnchor>
  <xdr:oneCellAnchor>
    <xdr:from>
      <xdr:col>12</xdr:col>
      <xdr:colOff>1409700</xdr:colOff>
      <xdr:row>14</xdr:row>
      <xdr:rowOff>104775</xdr:rowOff>
    </xdr:from>
    <xdr:ext cx="200025" cy="1333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50750" y="3718088"/>
          <a:ext cx="190500" cy="123825"/>
        </a:xfrm>
        <a:prstGeom prst="rect">
          <a:avLst/>
        </a:prstGeom>
        <a:solidFill>
          <a:srgbClr val="FFFFFF">
            <a:alpha val="80000"/>
          </a:srgbClr>
        </a:solidFill>
        <a:ln>
          <a:noFill/>
        </a:ln>
      </xdr:spPr>
      <xdr:txBody>
        <a:bodyPr spcFirstLastPara="1" wrap="square" lIns="12700" tIns="0" rIns="1270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max </a:t>
          </a:r>
          <a:endParaRPr sz="1400"/>
        </a:p>
      </xdr:txBody>
    </xdr:sp>
    <xdr:clientData fLocksWithSheet="0"/>
  </xdr:oneCellAnchor>
  <xdr:oneCellAnchor>
    <xdr:from>
      <xdr:col>13</xdr:col>
      <xdr:colOff>-9525</xdr:colOff>
      <xdr:row>13</xdr:row>
      <xdr:rowOff>-9525</xdr:rowOff>
    </xdr:from>
    <xdr:ext cx="742950" cy="2000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984050" y="3689513"/>
          <a:ext cx="723900" cy="180975"/>
        </a:xfrm>
        <a:prstGeom prst="rect">
          <a:avLst/>
        </a:prstGeom>
        <a:noFill/>
        <a:ln w="25400" cap="flat" cmpd="sng">
          <a:solidFill>
            <a:srgbClr val="0000F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5400" tIns="2540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0000FF"/>
            </a:solidFill>
          </a:endParaRPr>
        </a:p>
      </xdr:txBody>
    </xdr:sp>
    <xdr:clientData fLocksWithSheet="0"/>
  </xdr:oneCellAnchor>
  <xdr:oneCellAnchor>
    <xdr:from>
      <xdr:col>15</xdr:col>
      <xdr:colOff>-9525</xdr:colOff>
      <xdr:row>13</xdr:row>
      <xdr:rowOff>-9525</xdr:rowOff>
    </xdr:from>
    <xdr:ext cx="600075" cy="2000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055488" y="3689513"/>
          <a:ext cx="581025" cy="180975"/>
        </a:xfrm>
        <a:prstGeom prst="rect">
          <a:avLst/>
        </a:prstGeom>
        <a:noFill/>
        <a:ln w="25400" cap="flat" cmpd="sng">
          <a:solidFill>
            <a:srgbClr val="0000F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5400" tIns="2540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FF"/>
              </a:solidFill>
              <a:latin typeface="Calibri"/>
              <a:ea typeface="Calibri"/>
              <a:cs typeface="Calibri"/>
              <a:sym typeface="Calibri"/>
            </a:rPr>
            <a:t>≤</a:t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13</xdr:row>
      <xdr:rowOff>66675</xdr:rowOff>
    </xdr:from>
    <xdr:ext cx="5810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623550" y="2378075"/>
          <a:ext cx="581025" cy="38100"/>
          <a:chOff x="5055488" y="3780000"/>
          <a:chExt cx="581100" cy="0"/>
        </a:xfrm>
      </xdr:grpSpPr>
      <xdr:cxnSp macro="">
        <xdr:nvCxn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CxnSpPr>
            <a:stCxn id="6" idx="3"/>
            <a:endCxn id="7" idx="1"/>
          </xdr:cNvCxnSpPr>
        </xdr:nvCxnSpPr>
        <xdr:spPr>
          <a:xfrm>
            <a:off x="5055488" y="3780000"/>
            <a:ext cx="5811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104775</xdr:colOff>
      <xdr:row>12</xdr:row>
      <xdr:rowOff>142875</xdr:rowOff>
    </xdr:from>
    <xdr:ext cx="381000" cy="2571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55500" y="3656175"/>
          <a:ext cx="38100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736600</xdr:colOff>
      <xdr:row>4</xdr:row>
      <xdr:rowOff>38100</xdr:rowOff>
    </xdr:from>
    <xdr:ext cx="952500" cy="752951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600700" y="749300"/>
          <a:ext cx="952500" cy="75295125"/>
        </a:xfrm>
        <a:prstGeom prst="rect">
          <a:avLst/>
        </a:prstGeom>
        <a:noFill/>
        <a:ln w="25400" cap="flat" cmpd="sng">
          <a:solidFill>
            <a:srgbClr val="FF00F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5400" tIns="2540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rgbClr val="FF00FF"/>
            </a:solidFill>
          </a:endParaRPr>
        </a:p>
      </xdr:txBody>
    </xdr:sp>
    <xdr:clientData fLocksWithSheet="0"/>
  </xdr:oneCellAnchor>
  <xdr:oneCellAnchor>
    <xdr:from>
      <xdr:col>8</xdr:col>
      <xdr:colOff>0</xdr:colOff>
      <xdr:row>3</xdr:row>
      <xdr:rowOff>114300</xdr:rowOff>
    </xdr:from>
    <xdr:ext cx="323850" cy="1333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88838" y="3718088"/>
          <a:ext cx="314325" cy="123825"/>
        </a:xfrm>
        <a:prstGeom prst="rect">
          <a:avLst/>
        </a:prstGeom>
        <a:solidFill>
          <a:srgbClr val="FFFFFF">
            <a:alpha val="80000"/>
          </a:srgbClr>
        </a:solidFill>
        <a:ln>
          <a:noFill/>
        </a:ln>
      </xdr:spPr>
      <xdr:txBody>
        <a:bodyPr spcFirstLastPara="1" wrap="square" lIns="12700" tIns="0" rIns="1270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binary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/>
  </sheetViews>
  <sheetFormatPr defaultColWidth="14.453125" defaultRowHeight="15" customHeight="1" x14ac:dyDescent="0.35"/>
  <cols>
    <col min="1" max="3" width="8.7265625" customWidth="1"/>
    <col min="4" max="4" width="10.81640625" customWidth="1"/>
    <col min="5" max="5" width="11.54296875" customWidth="1"/>
    <col min="6" max="7" width="10.54296875" customWidth="1"/>
    <col min="8" max="8" width="10.81640625" customWidth="1"/>
    <col min="9" max="9" width="14.08984375" customWidth="1"/>
    <col min="10" max="12" width="8.7265625" customWidth="1"/>
    <col min="13" max="13" width="20.54296875" customWidth="1"/>
    <col min="14" max="14" width="10.81640625" customWidth="1"/>
    <col min="15" max="26" width="8.7265625" customWidth="1"/>
  </cols>
  <sheetData>
    <row r="1" spans="1:16" ht="14.25" customHeight="1" x14ac:dyDescent="0.35">
      <c r="A1" s="1" t="s">
        <v>0</v>
      </c>
      <c r="E1" s="2"/>
      <c r="F1" s="2"/>
      <c r="G1" s="2"/>
      <c r="H1" s="2"/>
    </row>
    <row r="2" spans="1:16" ht="14.25" customHeight="1" x14ac:dyDescent="0.35">
      <c r="E2" s="2"/>
      <c r="F2" s="2"/>
      <c r="G2" s="2"/>
      <c r="H2" s="2"/>
      <c r="M2" s="1" t="s">
        <v>1</v>
      </c>
      <c r="N2" s="1" t="s">
        <v>2</v>
      </c>
      <c r="O2" s="1" t="s">
        <v>3</v>
      </c>
      <c r="P2" s="1" t="s">
        <v>4</v>
      </c>
    </row>
    <row r="3" spans="1:16" ht="14.25" customHeight="1" x14ac:dyDescent="0.35">
      <c r="A3" s="1" t="s">
        <v>5</v>
      </c>
      <c r="E3" s="2"/>
      <c r="F3" s="2"/>
      <c r="G3" s="2"/>
      <c r="H3" s="2"/>
      <c r="M3" s="1" t="s">
        <v>6</v>
      </c>
      <c r="N3" s="3" t="s">
        <v>7</v>
      </c>
      <c r="O3" s="1" t="s">
        <v>8</v>
      </c>
      <c r="P3" s="1" t="s">
        <v>9</v>
      </c>
    </row>
    <row r="4" spans="1:16" ht="14.25" customHeight="1" x14ac:dyDescent="0.35">
      <c r="A4" s="1" t="s">
        <v>10</v>
      </c>
      <c r="B4" s="1" t="s">
        <v>11</v>
      </c>
      <c r="C4" s="1" t="s">
        <v>12</v>
      </c>
      <c r="D4" s="1" t="s">
        <v>13</v>
      </c>
      <c r="E4" s="2" t="s">
        <v>14</v>
      </c>
      <c r="F4" s="2" t="s">
        <v>15</v>
      </c>
      <c r="G4" s="1" t="s">
        <v>16</v>
      </c>
      <c r="H4" s="2" t="s">
        <v>17</v>
      </c>
      <c r="I4" s="1" t="s">
        <v>18</v>
      </c>
      <c r="M4" s="1" t="s">
        <v>19</v>
      </c>
      <c r="N4" s="3">
        <v>30</v>
      </c>
      <c r="O4" s="1" t="s">
        <v>20</v>
      </c>
      <c r="P4" s="1" t="s">
        <v>21</v>
      </c>
    </row>
    <row r="5" spans="1:16" ht="14.25" customHeight="1" x14ac:dyDescent="0.35">
      <c r="A5" s="1">
        <v>1</v>
      </c>
      <c r="B5" s="4">
        <v>2.8413064697717907</v>
      </c>
      <c r="C5" s="5">
        <v>56.394255202399854</v>
      </c>
      <c r="D5" s="4">
        <v>0.54255899440706989</v>
      </c>
      <c r="E5" s="2">
        <f t="shared" ref="E5:E259" si="0">0.25*C5</f>
        <v>14.098563800599964</v>
      </c>
      <c r="F5" s="2">
        <f t="shared" ref="F5:F259" si="1">25*D5</f>
        <v>13.563974860176748</v>
      </c>
      <c r="G5" s="2">
        <f t="shared" ref="G5:G259" si="2">F5-E5</f>
        <v>-0.53458894042321603</v>
      </c>
      <c r="H5" s="2">
        <f t="shared" ref="H5:H259" si="3">E5+F5</f>
        <v>27.662538660776711</v>
      </c>
      <c r="I5" s="1">
        <v>0</v>
      </c>
      <c r="M5" s="1" t="s">
        <v>15</v>
      </c>
      <c r="N5" s="3" t="s">
        <v>22</v>
      </c>
      <c r="O5" s="1" t="s">
        <v>23</v>
      </c>
      <c r="P5" s="1" t="s">
        <v>24</v>
      </c>
    </row>
    <row r="6" spans="1:16" ht="14.25" customHeight="1" x14ac:dyDescent="0.35">
      <c r="A6" s="1">
        <v>4</v>
      </c>
      <c r="B6" s="4">
        <v>2.5037188976248204</v>
      </c>
      <c r="C6" s="5">
        <v>63.711481025370567</v>
      </c>
      <c r="D6" s="4">
        <v>2.8641274571122279</v>
      </c>
      <c r="E6" s="2">
        <f t="shared" si="0"/>
        <v>15.927870256342642</v>
      </c>
      <c r="F6" s="2">
        <f t="shared" si="1"/>
        <v>71.603186427805696</v>
      </c>
      <c r="G6" s="2">
        <f t="shared" si="2"/>
        <v>55.675316171463052</v>
      </c>
      <c r="H6" s="2">
        <f t="shared" si="3"/>
        <v>87.531056684148339</v>
      </c>
      <c r="I6" s="1">
        <v>1</v>
      </c>
      <c r="M6" s="1" t="s">
        <v>25</v>
      </c>
      <c r="N6" s="6">
        <v>0.25</v>
      </c>
      <c r="O6" s="1" t="s">
        <v>26</v>
      </c>
      <c r="P6" s="1" t="s">
        <v>27</v>
      </c>
    </row>
    <row r="7" spans="1:16" ht="14.25" customHeight="1" x14ac:dyDescent="0.35">
      <c r="A7" s="1">
        <v>8</v>
      </c>
      <c r="B7" s="4">
        <v>7.0719385776231567</v>
      </c>
      <c r="C7" s="5">
        <v>83.945042282436248</v>
      </c>
      <c r="D7" s="4">
        <v>3.1756792969318344</v>
      </c>
      <c r="E7" s="2">
        <f t="shared" si="0"/>
        <v>20.986260570609062</v>
      </c>
      <c r="F7" s="2">
        <f t="shared" si="1"/>
        <v>79.391982423295858</v>
      </c>
      <c r="G7" s="2">
        <f t="shared" si="2"/>
        <v>58.405721852686796</v>
      </c>
      <c r="H7" s="2">
        <f t="shared" si="3"/>
        <v>100.37824299390492</v>
      </c>
      <c r="I7" s="1">
        <v>0</v>
      </c>
      <c r="M7" s="1" t="s">
        <v>28</v>
      </c>
      <c r="N7" s="3">
        <v>500</v>
      </c>
      <c r="O7" s="1" t="s">
        <v>29</v>
      </c>
      <c r="P7" s="1" t="s">
        <v>30</v>
      </c>
    </row>
    <row r="8" spans="1:16" ht="14.25" customHeight="1" x14ac:dyDescent="0.35">
      <c r="A8" s="1">
        <v>14</v>
      </c>
      <c r="B8" s="4">
        <v>2.9214487533555857</v>
      </c>
      <c r="C8" s="5">
        <v>17.501380475592576</v>
      </c>
      <c r="D8" s="4">
        <v>0.38211002864978488</v>
      </c>
      <c r="E8" s="2">
        <f t="shared" si="0"/>
        <v>4.375345118898144</v>
      </c>
      <c r="F8" s="2">
        <f t="shared" si="1"/>
        <v>9.5527507162446224</v>
      </c>
      <c r="G8" s="2">
        <f t="shared" si="2"/>
        <v>5.1774055973464783</v>
      </c>
      <c r="H8" s="2">
        <f t="shared" si="3"/>
        <v>13.928095835142766</v>
      </c>
      <c r="I8" s="1">
        <v>0</v>
      </c>
      <c r="M8" s="1" t="s">
        <v>31</v>
      </c>
      <c r="N8" s="3" t="s">
        <v>32</v>
      </c>
      <c r="P8" s="1" t="s">
        <v>33</v>
      </c>
    </row>
    <row r="9" spans="1:16" ht="14.25" customHeight="1" x14ac:dyDescent="0.35">
      <c r="A9" s="1">
        <v>16</v>
      </c>
      <c r="B9" s="4">
        <v>6.5402017461972184</v>
      </c>
      <c r="C9" s="5">
        <v>83.817511484980415</v>
      </c>
      <c r="D9" s="4">
        <v>2.9351670972363189</v>
      </c>
      <c r="E9" s="2">
        <f t="shared" si="0"/>
        <v>20.954377871245104</v>
      </c>
      <c r="F9" s="2">
        <f t="shared" si="1"/>
        <v>73.379177430907973</v>
      </c>
      <c r="G9" s="2">
        <f t="shared" si="2"/>
        <v>52.424799559662873</v>
      </c>
      <c r="H9" s="2">
        <f t="shared" si="3"/>
        <v>94.333555302153073</v>
      </c>
      <c r="I9" s="1">
        <v>0</v>
      </c>
      <c r="M9" s="1" t="s">
        <v>34</v>
      </c>
      <c r="N9" s="1" t="s">
        <v>35</v>
      </c>
      <c r="P9" s="1" t="s">
        <v>36</v>
      </c>
    </row>
    <row r="10" spans="1:16" ht="14.25" customHeight="1" x14ac:dyDescent="0.35">
      <c r="A10" s="1">
        <v>17</v>
      </c>
      <c r="B10" s="4">
        <v>5.4591373452836178</v>
      </c>
      <c r="C10" s="5">
        <v>72.344381620845084</v>
      </c>
      <c r="D10" s="4">
        <v>2.3769663359668649</v>
      </c>
      <c r="E10" s="2">
        <f t="shared" si="0"/>
        <v>18.086095405211271</v>
      </c>
      <c r="F10" s="2">
        <f t="shared" si="1"/>
        <v>59.424158399171624</v>
      </c>
      <c r="G10" s="2">
        <f t="shared" si="2"/>
        <v>41.338062993960349</v>
      </c>
      <c r="H10" s="2">
        <f t="shared" si="3"/>
        <v>77.510253804382899</v>
      </c>
      <c r="I10" s="1">
        <v>0</v>
      </c>
    </row>
    <row r="11" spans="1:16" ht="14.25" customHeight="1" x14ac:dyDescent="0.35">
      <c r="A11" s="1">
        <v>18</v>
      </c>
      <c r="B11" s="4">
        <v>4.0791284832946362</v>
      </c>
      <c r="C11" s="5">
        <v>62.080306641899455</v>
      </c>
      <c r="D11" s="4">
        <v>2.6252338807744091</v>
      </c>
      <c r="E11" s="2">
        <f t="shared" si="0"/>
        <v>15.520076660474864</v>
      </c>
      <c r="F11" s="2">
        <f t="shared" si="1"/>
        <v>65.630847019360232</v>
      </c>
      <c r="G11" s="2">
        <f t="shared" si="2"/>
        <v>50.110770358885368</v>
      </c>
      <c r="H11" s="2">
        <f t="shared" si="3"/>
        <v>81.150923679835103</v>
      </c>
      <c r="I11" s="1">
        <v>1</v>
      </c>
    </row>
    <row r="12" spans="1:16" ht="14.25" customHeight="1" x14ac:dyDescent="0.35">
      <c r="A12" s="1">
        <v>19</v>
      </c>
      <c r="B12" s="4">
        <v>6.8546947112993406</v>
      </c>
      <c r="C12" s="5">
        <v>3.9176987602417612</v>
      </c>
      <c r="D12" s="4">
        <v>2.8831571025905278</v>
      </c>
      <c r="E12" s="2">
        <f t="shared" si="0"/>
        <v>0.97942469006044031</v>
      </c>
      <c r="F12" s="2">
        <f t="shared" si="1"/>
        <v>72.078927564763191</v>
      </c>
      <c r="G12" s="2">
        <f t="shared" si="2"/>
        <v>71.09950287470275</v>
      </c>
      <c r="H12" s="2">
        <f t="shared" si="3"/>
        <v>73.058352254823632</v>
      </c>
      <c r="I12" s="1">
        <v>0</v>
      </c>
    </row>
    <row r="13" spans="1:16" ht="14.25" customHeight="1" x14ac:dyDescent="0.35">
      <c r="A13" s="1">
        <v>23</v>
      </c>
      <c r="B13" s="4">
        <v>1.9335633747787351</v>
      </c>
      <c r="C13" s="5">
        <v>62.52287629273178</v>
      </c>
      <c r="D13" s="4">
        <v>1.5706768229459045</v>
      </c>
      <c r="E13" s="2">
        <f t="shared" si="0"/>
        <v>15.630719073182945</v>
      </c>
      <c r="F13" s="2">
        <f t="shared" si="1"/>
        <v>39.26692057364761</v>
      </c>
      <c r="G13" s="2">
        <f t="shared" si="2"/>
        <v>23.636201500464665</v>
      </c>
      <c r="H13" s="2">
        <f t="shared" si="3"/>
        <v>54.897639646830555</v>
      </c>
      <c r="I13" s="1">
        <v>1</v>
      </c>
      <c r="M13" s="1" t="s">
        <v>37</v>
      </c>
    </row>
    <row r="14" spans="1:16" ht="14.25" customHeight="1" x14ac:dyDescent="0.35">
      <c r="A14" s="1">
        <v>25</v>
      </c>
      <c r="B14" s="4">
        <v>5.8675915694035261</v>
      </c>
      <c r="C14" s="5">
        <v>44.703870048327666</v>
      </c>
      <c r="D14" s="4">
        <v>2.0787762988409098</v>
      </c>
      <c r="E14" s="2">
        <f t="shared" si="0"/>
        <v>11.175967512081916</v>
      </c>
      <c r="F14" s="2">
        <f t="shared" si="1"/>
        <v>51.969407471022741</v>
      </c>
      <c r="G14" s="2">
        <f t="shared" si="2"/>
        <v>40.793439958940823</v>
      </c>
      <c r="H14" s="2">
        <f t="shared" si="3"/>
        <v>63.145374983104659</v>
      </c>
      <c r="I14" s="1">
        <v>0</v>
      </c>
      <c r="M14" s="1" t="s">
        <v>38</v>
      </c>
      <c r="N14" s="4">
        <f>SUMPRODUCT(B5:B420,I5:I420)</f>
        <v>499.95447305457668</v>
      </c>
      <c r="O14" s="1" t="s">
        <v>39</v>
      </c>
      <c r="P14" s="1">
        <v>500</v>
      </c>
    </row>
    <row r="15" spans="1:16" ht="14.25" customHeight="1" x14ac:dyDescent="0.35">
      <c r="A15" s="1">
        <v>26</v>
      </c>
      <c r="B15" s="4">
        <v>7.0069103981768466</v>
      </c>
      <c r="C15" s="5">
        <v>0.98561979343579909</v>
      </c>
      <c r="D15" s="4">
        <v>1.1421365354113049</v>
      </c>
      <c r="E15" s="2">
        <f t="shared" si="0"/>
        <v>0.24640494835894977</v>
      </c>
      <c r="F15" s="2">
        <f t="shared" si="1"/>
        <v>28.553413385282621</v>
      </c>
      <c r="G15" s="2">
        <f t="shared" si="2"/>
        <v>28.30700843692367</v>
      </c>
      <c r="H15" s="2">
        <f t="shared" si="3"/>
        <v>28.799818333641571</v>
      </c>
      <c r="I15" s="1">
        <v>0</v>
      </c>
    </row>
    <row r="16" spans="1:16" ht="14.25" customHeight="1" x14ac:dyDescent="0.35">
      <c r="A16" s="1">
        <v>31</v>
      </c>
      <c r="B16" s="4">
        <v>0.92553085588797601</v>
      </c>
      <c r="C16" s="5">
        <v>75.388159228417621</v>
      </c>
      <c r="D16" s="4">
        <v>0.94773551429482561</v>
      </c>
      <c r="E16" s="2">
        <f t="shared" si="0"/>
        <v>18.847039807104405</v>
      </c>
      <c r="F16" s="2">
        <f t="shared" si="1"/>
        <v>23.693387857370642</v>
      </c>
      <c r="G16" s="2">
        <f t="shared" si="2"/>
        <v>4.8463480502662364</v>
      </c>
      <c r="H16" s="2">
        <f t="shared" si="3"/>
        <v>42.540427664475047</v>
      </c>
      <c r="I16" s="1">
        <v>0</v>
      </c>
      <c r="M16" s="1" t="s">
        <v>40</v>
      </c>
      <c r="N16" s="2">
        <f>SUMPRODUCT(G5:G420,I5:I420)</f>
        <v>8384.5731704454483</v>
      </c>
    </row>
    <row r="17" spans="1:14" ht="14.25" customHeight="1" x14ac:dyDescent="0.35">
      <c r="A17" s="1">
        <v>32</v>
      </c>
      <c r="B17" s="4">
        <v>2.703574087155304</v>
      </c>
      <c r="C17" s="5">
        <v>76.927936219593718</v>
      </c>
      <c r="D17" s="4">
        <v>2.1202749751241354</v>
      </c>
      <c r="E17" s="2">
        <f t="shared" si="0"/>
        <v>19.23198405489843</v>
      </c>
      <c r="F17" s="2">
        <f t="shared" si="1"/>
        <v>53.006874378103383</v>
      </c>
      <c r="G17" s="2">
        <f t="shared" si="2"/>
        <v>33.774890323204957</v>
      </c>
      <c r="H17" s="2">
        <f t="shared" si="3"/>
        <v>72.238858433001809</v>
      </c>
      <c r="I17" s="1">
        <v>1</v>
      </c>
    </row>
    <row r="18" spans="1:14" ht="14.25" customHeight="1" x14ac:dyDescent="0.35">
      <c r="A18" s="1">
        <v>35</v>
      </c>
      <c r="B18" s="4">
        <v>0.43645018317542084</v>
      </c>
      <c r="C18" s="5">
        <v>78.177645639745492</v>
      </c>
      <c r="D18" s="4">
        <v>2.746872613905055</v>
      </c>
      <c r="E18" s="2">
        <f t="shared" si="0"/>
        <v>19.544411409936373</v>
      </c>
      <c r="F18" s="2">
        <f t="shared" si="1"/>
        <v>68.671815347626378</v>
      </c>
      <c r="G18" s="2">
        <f t="shared" si="2"/>
        <v>49.127403937690005</v>
      </c>
      <c r="H18" s="2">
        <f t="shared" si="3"/>
        <v>88.216226757562751</v>
      </c>
      <c r="I18" s="1">
        <v>1</v>
      </c>
      <c r="M18" s="1" t="s">
        <v>17</v>
      </c>
      <c r="N18" s="2">
        <f>SUMPRODUCT(H5:H420,I5:I420)</f>
        <v>12896.534908002366</v>
      </c>
    </row>
    <row r="19" spans="1:14" ht="14.25" customHeight="1" x14ac:dyDescent="0.35">
      <c r="A19" s="1">
        <v>38</v>
      </c>
      <c r="B19" s="4">
        <v>4.99539812661091</v>
      </c>
      <c r="C19" s="5">
        <v>72.285613217040463</v>
      </c>
      <c r="D19" s="4">
        <v>3.1201980237539941</v>
      </c>
      <c r="E19" s="2">
        <f t="shared" si="0"/>
        <v>18.071403304260116</v>
      </c>
      <c r="F19" s="2">
        <f t="shared" si="1"/>
        <v>78.004950593849856</v>
      </c>
      <c r="G19" s="2">
        <f t="shared" si="2"/>
        <v>59.93354728958974</v>
      </c>
      <c r="H19" s="2">
        <f t="shared" si="3"/>
        <v>96.076353898109971</v>
      </c>
      <c r="I19" s="1">
        <v>1</v>
      </c>
    </row>
    <row r="20" spans="1:14" ht="14.25" customHeight="1" x14ac:dyDescent="0.35">
      <c r="A20" s="1">
        <v>39</v>
      </c>
      <c r="B20" s="4">
        <v>9.3614014153288299</v>
      </c>
      <c r="C20" s="5">
        <v>84.224169758668083</v>
      </c>
      <c r="D20" s="4">
        <v>3.2482024009140531</v>
      </c>
      <c r="E20" s="2">
        <f t="shared" si="0"/>
        <v>21.056042439667021</v>
      </c>
      <c r="F20" s="2">
        <f t="shared" si="1"/>
        <v>81.205060022851328</v>
      </c>
      <c r="G20" s="2">
        <f t="shared" si="2"/>
        <v>60.149017583184303</v>
      </c>
      <c r="H20" s="2">
        <f t="shared" si="3"/>
        <v>102.26110246251835</v>
      </c>
      <c r="I20" s="1">
        <v>0</v>
      </c>
    </row>
    <row r="21" spans="1:14" ht="14.25" customHeight="1" x14ac:dyDescent="0.35">
      <c r="A21" s="1">
        <v>41</v>
      </c>
      <c r="B21" s="4">
        <v>4.3288470126141601</v>
      </c>
      <c r="C21" s="5">
        <v>6.5469544163868303</v>
      </c>
      <c r="D21" s="4">
        <v>1.2478731961730476</v>
      </c>
      <c r="E21" s="2">
        <f t="shared" si="0"/>
        <v>1.6367386040967076</v>
      </c>
      <c r="F21" s="2">
        <f t="shared" si="1"/>
        <v>31.19682990432619</v>
      </c>
      <c r="G21" s="2">
        <f t="shared" si="2"/>
        <v>29.560091300229484</v>
      </c>
      <c r="H21" s="2">
        <f t="shared" si="3"/>
        <v>32.8335685084229</v>
      </c>
      <c r="I21" s="1">
        <v>0</v>
      </c>
    </row>
    <row r="22" spans="1:14" ht="14.25" customHeight="1" x14ac:dyDescent="0.35">
      <c r="A22" s="1">
        <v>43</v>
      </c>
      <c r="B22" s="4">
        <v>3.4400274060550249</v>
      </c>
      <c r="C22" s="5">
        <v>88.544864640030255</v>
      </c>
      <c r="D22" s="4">
        <v>2.2861074462835766</v>
      </c>
      <c r="E22" s="2">
        <f t="shared" si="0"/>
        <v>22.136216160007564</v>
      </c>
      <c r="F22" s="2">
        <f t="shared" si="1"/>
        <v>57.15268615708942</v>
      </c>
      <c r="G22" s="2">
        <f t="shared" si="2"/>
        <v>35.016469997081856</v>
      </c>
      <c r="H22" s="2">
        <f t="shared" si="3"/>
        <v>79.288902317096984</v>
      </c>
      <c r="I22" s="1">
        <v>0</v>
      </c>
    </row>
    <row r="23" spans="1:14" ht="14.25" customHeight="1" x14ac:dyDescent="0.35">
      <c r="A23" s="1">
        <v>47</v>
      </c>
      <c r="B23" s="4">
        <v>2.491868862856804</v>
      </c>
      <c r="C23" s="5">
        <v>83.543252086202173</v>
      </c>
      <c r="D23" s="4">
        <v>1.8616229357881728</v>
      </c>
      <c r="E23" s="2">
        <f t="shared" si="0"/>
        <v>20.885813021550543</v>
      </c>
      <c r="F23" s="2">
        <f t="shared" si="1"/>
        <v>46.540573394704325</v>
      </c>
      <c r="G23" s="2">
        <f t="shared" si="2"/>
        <v>25.654760373153781</v>
      </c>
      <c r="H23" s="2">
        <f t="shared" si="3"/>
        <v>67.426386416254871</v>
      </c>
      <c r="I23" s="1">
        <v>0</v>
      </c>
    </row>
    <row r="24" spans="1:14" ht="14.25" customHeight="1" x14ac:dyDescent="0.35">
      <c r="A24" s="1">
        <v>48</v>
      </c>
      <c r="B24" s="4">
        <v>6.6302417029515031</v>
      </c>
      <c r="C24" s="5">
        <v>88.077018536128762</v>
      </c>
      <c r="D24" s="4">
        <v>2.9657601138693863</v>
      </c>
      <c r="E24" s="2">
        <f t="shared" si="0"/>
        <v>22.01925463403219</v>
      </c>
      <c r="F24" s="2">
        <f t="shared" si="1"/>
        <v>74.144002846734651</v>
      </c>
      <c r="G24" s="2">
        <f t="shared" si="2"/>
        <v>52.124748212702457</v>
      </c>
      <c r="H24" s="2">
        <f t="shared" si="3"/>
        <v>96.163257480766845</v>
      </c>
      <c r="I24" s="1">
        <v>0</v>
      </c>
    </row>
    <row r="25" spans="1:14" ht="14.25" customHeight="1" x14ac:dyDescent="0.35">
      <c r="A25" s="1">
        <v>55</v>
      </c>
      <c r="B25" s="4">
        <v>2.0467901820589676</v>
      </c>
      <c r="C25" s="5">
        <v>94.353427088022542</v>
      </c>
      <c r="D25" s="4">
        <v>3.2203596435638047</v>
      </c>
      <c r="E25" s="2">
        <f t="shared" si="0"/>
        <v>23.588356772005636</v>
      </c>
      <c r="F25" s="2">
        <f t="shared" si="1"/>
        <v>80.508991089095119</v>
      </c>
      <c r="G25" s="2">
        <f t="shared" si="2"/>
        <v>56.92063431708948</v>
      </c>
      <c r="H25" s="2">
        <f t="shared" si="3"/>
        <v>104.09734786110076</v>
      </c>
      <c r="I25" s="1">
        <v>1</v>
      </c>
    </row>
    <row r="26" spans="1:14" ht="14.25" customHeight="1" x14ac:dyDescent="0.35">
      <c r="A26" s="1">
        <v>58</v>
      </c>
      <c r="B26" s="4">
        <v>4.8808439805120312</v>
      </c>
      <c r="C26" s="5">
        <v>33.17980835960617</v>
      </c>
      <c r="D26" s="4">
        <v>2.6441564439720251</v>
      </c>
      <c r="E26" s="2">
        <f t="shared" si="0"/>
        <v>8.2949520899015425</v>
      </c>
      <c r="F26" s="2">
        <f t="shared" si="1"/>
        <v>66.103911099300632</v>
      </c>
      <c r="G26" s="2">
        <f t="shared" si="2"/>
        <v>57.808959009399089</v>
      </c>
      <c r="H26" s="2">
        <f t="shared" si="3"/>
        <v>74.398863189202174</v>
      </c>
      <c r="I26" s="1">
        <v>1</v>
      </c>
    </row>
    <row r="27" spans="1:14" ht="14.25" customHeight="1" x14ac:dyDescent="0.35">
      <c r="A27" s="1">
        <v>61</v>
      </c>
      <c r="B27" s="4">
        <v>7.7609436941717203</v>
      </c>
      <c r="C27" s="5">
        <v>60.715820600474316</v>
      </c>
      <c r="D27" s="4">
        <v>2.8205863196360492</v>
      </c>
      <c r="E27" s="2">
        <f t="shared" si="0"/>
        <v>15.178955150118579</v>
      </c>
      <c r="F27" s="2">
        <f t="shared" si="1"/>
        <v>70.514657990901227</v>
      </c>
      <c r="G27" s="2">
        <f t="shared" si="2"/>
        <v>55.335702840782645</v>
      </c>
      <c r="H27" s="2">
        <f t="shared" si="3"/>
        <v>85.69361314101981</v>
      </c>
      <c r="I27" s="1">
        <v>0</v>
      </c>
    </row>
    <row r="28" spans="1:14" ht="14.25" customHeight="1" x14ac:dyDescent="0.35">
      <c r="A28" s="1">
        <v>63</v>
      </c>
      <c r="B28" s="4">
        <v>2.8777593324401196</v>
      </c>
      <c r="C28" s="5">
        <v>65.874635217010578</v>
      </c>
      <c r="D28" s="4">
        <v>2.2042283562723299</v>
      </c>
      <c r="E28" s="2">
        <f t="shared" si="0"/>
        <v>16.468658804252645</v>
      </c>
      <c r="F28" s="2">
        <f t="shared" si="1"/>
        <v>55.105708906808246</v>
      </c>
      <c r="G28" s="2">
        <f t="shared" si="2"/>
        <v>38.637050102555605</v>
      </c>
      <c r="H28" s="2">
        <f t="shared" si="3"/>
        <v>71.574367711060887</v>
      </c>
      <c r="I28" s="1">
        <v>1</v>
      </c>
    </row>
    <row r="29" spans="1:14" ht="14.25" customHeight="1" x14ac:dyDescent="0.35">
      <c r="A29" s="1">
        <v>64</v>
      </c>
      <c r="B29" s="4">
        <v>3.0412679026231624</v>
      </c>
      <c r="C29" s="5">
        <v>61.328839361780872</v>
      </c>
      <c r="D29" s="4">
        <v>1.9703106371475858</v>
      </c>
      <c r="E29" s="2">
        <f t="shared" si="0"/>
        <v>15.332209840445218</v>
      </c>
      <c r="F29" s="2">
        <f t="shared" si="1"/>
        <v>49.257765928689643</v>
      </c>
      <c r="G29" s="2">
        <f t="shared" si="2"/>
        <v>33.925556088244427</v>
      </c>
      <c r="H29" s="2">
        <f t="shared" si="3"/>
        <v>64.589975769134867</v>
      </c>
      <c r="I29" s="1">
        <v>1</v>
      </c>
    </row>
    <row r="30" spans="1:14" ht="14.25" customHeight="1" x14ac:dyDescent="0.35">
      <c r="A30" s="1">
        <v>75</v>
      </c>
      <c r="B30" s="4">
        <v>2.9621946476247829</v>
      </c>
      <c r="C30" s="5">
        <v>27.869016038483817</v>
      </c>
      <c r="D30" s="4">
        <v>2.0328118140297322</v>
      </c>
      <c r="E30" s="2">
        <f t="shared" si="0"/>
        <v>6.9672540096209543</v>
      </c>
      <c r="F30" s="2">
        <f t="shared" si="1"/>
        <v>50.820295350743308</v>
      </c>
      <c r="G30" s="2">
        <f t="shared" si="2"/>
        <v>43.853041341122356</v>
      </c>
      <c r="H30" s="2">
        <f t="shared" si="3"/>
        <v>57.78754936036426</v>
      </c>
      <c r="I30" s="1">
        <v>1</v>
      </c>
    </row>
    <row r="31" spans="1:14" ht="14.25" customHeight="1" x14ac:dyDescent="0.35">
      <c r="A31" s="1">
        <v>81</v>
      </c>
      <c r="B31" s="4">
        <v>0.88385762405837398</v>
      </c>
      <c r="C31" s="5">
        <v>88.763941650609382</v>
      </c>
      <c r="D31" s="4">
        <v>2.50822000609997</v>
      </c>
      <c r="E31" s="2">
        <f t="shared" si="0"/>
        <v>22.190985412652346</v>
      </c>
      <c r="F31" s="2">
        <f t="shared" si="1"/>
        <v>62.705500152499248</v>
      </c>
      <c r="G31" s="2">
        <f t="shared" si="2"/>
        <v>40.514514739846902</v>
      </c>
      <c r="H31" s="2">
        <f t="shared" si="3"/>
        <v>84.896485565151593</v>
      </c>
      <c r="I31" s="1">
        <v>1</v>
      </c>
    </row>
    <row r="32" spans="1:14" ht="14.25" customHeight="1" x14ac:dyDescent="0.35">
      <c r="A32" s="1">
        <v>82</v>
      </c>
      <c r="B32" s="4">
        <v>0.73039598797183691</v>
      </c>
      <c r="C32" s="5">
        <v>21.885409442092516</v>
      </c>
      <c r="D32" s="4">
        <v>0.64616091802461817</v>
      </c>
      <c r="E32" s="2">
        <f t="shared" si="0"/>
        <v>5.4713523605231291</v>
      </c>
      <c r="F32" s="2">
        <f t="shared" si="1"/>
        <v>16.154022950615456</v>
      </c>
      <c r="G32" s="2">
        <f t="shared" si="2"/>
        <v>10.682670590092327</v>
      </c>
      <c r="H32" s="2">
        <f t="shared" si="3"/>
        <v>21.625375311138583</v>
      </c>
      <c r="I32" s="1">
        <v>1</v>
      </c>
    </row>
    <row r="33" spans="1:9" ht="14.25" customHeight="1" x14ac:dyDescent="0.35">
      <c r="A33" s="1">
        <v>85</v>
      </c>
      <c r="B33" s="4">
        <v>1.5306598931066917</v>
      </c>
      <c r="C33" s="5">
        <v>91.402840219275134</v>
      </c>
      <c r="D33" s="4">
        <v>1.0088374140522212</v>
      </c>
      <c r="E33" s="2">
        <f t="shared" si="0"/>
        <v>22.850710054818784</v>
      </c>
      <c r="F33" s="2">
        <f t="shared" si="1"/>
        <v>25.220935351305528</v>
      </c>
      <c r="G33" s="2">
        <f t="shared" si="2"/>
        <v>2.3702252964867441</v>
      </c>
      <c r="H33" s="2">
        <f t="shared" si="3"/>
        <v>48.071645406124311</v>
      </c>
      <c r="I33" s="1">
        <v>0</v>
      </c>
    </row>
    <row r="34" spans="1:9" ht="14.25" customHeight="1" x14ac:dyDescent="0.35">
      <c r="A34" s="1">
        <v>86</v>
      </c>
      <c r="B34" s="4">
        <v>0.91356623421294469</v>
      </c>
      <c r="C34" s="5">
        <v>1.6885604048754499</v>
      </c>
      <c r="D34" s="4">
        <v>1.7464155704895665</v>
      </c>
      <c r="E34" s="2">
        <f t="shared" si="0"/>
        <v>0.42214010121886247</v>
      </c>
      <c r="F34" s="2">
        <f t="shared" si="1"/>
        <v>43.660389262239164</v>
      </c>
      <c r="G34" s="2">
        <f t="shared" si="2"/>
        <v>43.238249161020299</v>
      </c>
      <c r="H34" s="2">
        <f t="shared" si="3"/>
        <v>44.082529363458029</v>
      </c>
      <c r="I34" s="1">
        <v>1</v>
      </c>
    </row>
    <row r="35" spans="1:9" ht="14.25" customHeight="1" x14ac:dyDescent="0.35">
      <c r="A35" s="1">
        <v>87</v>
      </c>
      <c r="B35" s="4">
        <v>7.578015698568354</v>
      </c>
      <c r="C35" s="5">
        <v>21.101649311136384</v>
      </c>
      <c r="D35" s="4">
        <v>3.0772921554933967</v>
      </c>
      <c r="E35" s="2">
        <f t="shared" si="0"/>
        <v>5.2754123277840961</v>
      </c>
      <c r="F35" s="2">
        <f t="shared" si="1"/>
        <v>76.932303887334925</v>
      </c>
      <c r="G35" s="2">
        <f t="shared" si="2"/>
        <v>71.656891559550829</v>
      </c>
      <c r="H35" s="2">
        <f t="shared" si="3"/>
        <v>82.207716215119021</v>
      </c>
      <c r="I35" s="1">
        <v>0</v>
      </c>
    </row>
    <row r="36" spans="1:9" ht="14.25" customHeight="1" x14ac:dyDescent="0.35">
      <c r="A36" s="1">
        <v>88</v>
      </c>
      <c r="B36" s="4">
        <v>1.4930828690322018</v>
      </c>
      <c r="C36" s="5">
        <v>17.674599995288499</v>
      </c>
      <c r="D36" s="4">
        <v>1.1766178104424458</v>
      </c>
      <c r="E36" s="2">
        <f t="shared" si="0"/>
        <v>4.4186499988221248</v>
      </c>
      <c r="F36" s="2">
        <f t="shared" si="1"/>
        <v>29.415445261061144</v>
      </c>
      <c r="G36" s="2">
        <f t="shared" si="2"/>
        <v>24.996795262239019</v>
      </c>
      <c r="H36" s="2">
        <f t="shared" si="3"/>
        <v>33.83409525988327</v>
      </c>
      <c r="I36" s="1">
        <v>1</v>
      </c>
    </row>
    <row r="37" spans="1:9" ht="14.25" customHeight="1" x14ac:dyDescent="0.35">
      <c r="A37" s="1">
        <v>89</v>
      </c>
      <c r="B37" s="4">
        <v>6.561145918502306</v>
      </c>
      <c r="C37" s="5">
        <v>35.119819662847085</v>
      </c>
      <c r="D37" s="4">
        <v>2.793917232003754</v>
      </c>
      <c r="E37" s="2">
        <f t="shared" si="0"/>
        <v>8.7799549157117713</v>
      </c>
      <c r="F37" s="2">
        <f t="shared" si="1"/>
        <v>69.847930800093849</v>
      </c>
      <c r="G37" s="2">
        <f t="shared" si="2"/>
        <v>61.067975884382079</v>
      </c>
      <c r="H37" s="2">
        <f t="shared" si="3"/>
        <v>78.627885715805618</v>
      </c>
      <c r="I37" s="1">
        <v>0</v>
      </c>
    </row>
    <row r="38" spans="1:9" ht="14.25" customHeight="1" x14ac:dyDescent="0.35">
      <c r="A38" s="1">
        <v>91</v>
      </c>
      <c r="B38" s="4">
        <v>0.33735976863779937</v>
      </c>
      <c r="C38" s="5">
        <v>47.435302492539634</v>
      </c>
      <c r="D38" s="4">
        <v>1.403178780418642</v>
      </c>
      <c r="E38" s="2">
        <f t="shared" si="0"/>
        <v>11.858825623134909</v>
      </c>
      <c r="F38" s="2">
        <f t="shared" si="1"/>
        <v>35.079469510466048</v>
      </c>
      <c r="G38" s="2">
        <f t="shared" si="2"/>
        <v>23.220643887331139</v>
      </c>
      <c r="H38" s="2">
        <f t="shared" si="3"/>
        <v>46.93829513360096</v>
      </c>
      <c r="I38" s="1">
        <v>1</v>
      </c>
    </row>
    <row r="39" spans="1:9" ht="14.25" customHeight="1" x14ac:dyDescent="0.35">
      <c r="A39" s="1">
        <v>92</v>
      </c>
      <c r="B39" s="4">
        <v>0.75595603376617082</v>
      </c>
      <c r="C39" s="5">
        <v>38.336260342986961</v>
      </c>
      <c r="D39" s="4">
        <v>0.52640525996837217</v>
      </c>
      <c r="E39" s="2">
        <f t="shared" si="0"/>
        <v>9.5840650857467402</v>
      </c>
      <c r="F39" s="2">
        <f t="shared" si="1"/>
        <v>13.160131499209305</v>
      </c>
      <c r="G39" s="2">
        <f t="shared" si="2"/>
        <v>3.5760664134625646</v>
      </c>
      <c r="H39" s="2">
        <f t="shared" si="3"/>
        <v>22.744196584956043</v>
      </c>
      <c r="I39" s="1">
        <v>0</v>
      </c>
    </row>
    <row r="40" spans="1:9" ht="14.25" customHeight="1" x14ac:dyDescent="0.35">
      <c r="A40" s="1">
        <v>96</v>
      </c>
      <c r="B40" s="4">
        <v>1.393934377638294</v>
      </c>
      <c r="C40" s="5">
        <v>91.148653343778307</v>
      </c>
      <c r="D40" s="4">
        <v>0.57986306579295555</v>
      </c>
      <c r="E40" s="2">
        <f t="shared" si="0"/>
        <v>22.787163335944577</v>
      </c>
      <c r="F40" s="2">
        <f t="shared" si="1"/>
        <v>14.49657664482389</v>
      </c>
      <c r="G40" s="2">
        <f t="shared" si="2"/>
        <v>-8.2905866911206871</v>
      </c>
      <c r="H40" s="2">
        <f t="shared" si="3"/>
        <v>37.283739980768466</v>
      </c>
      <c r="I40" s="1">
        <v>0</v>
      </c>
    </row>
    <row r="41" spans="1:9" ht="14.25" customHeight="1" x14ac:dyDescent="0.35">
      <c r="A41" s="1">
        <v>98</v>
      </c>
      <c r="B41" s="4">
        <v>5.6878046898335022</v>
      </c>
      <c r="C41" s="5">
        <v>56.415873882006686</v>
      </c>
      <c r="D41" s="4">
        <v>2.9911102390913347</v>
      </c>
      <c r="E41" s="2">
        <f t="shared" si="0"/>
        <v>14.103968470501671</v>
      </c>
      <c r="F41" s="2">
        <f t="shared" si="1"/>
        <v>74.777755977283363</v>
      </c>
      <c r="G41" s="2">
        <f t="shared" si="2"/>
        <v>60.673787506781693</v>
      </c>
      <c r="H41" s="2">
        <f t="shared" si="3"/>
        <v>88.881724447785032</v>
      </c>
      <c r="I41" s="1">
        <v>1</v>
      </c>
    </row>
    <row r="42" spans="1:9" ht="14.25" customHeight="1" x14ac:dyDescent="0.35">
      <c r="A42" s="1">
        <v>100</v>
      </c>
      <c r="B42" s="4">
        <v>7.424306049298778</v>
      </c>
      <c r="C42" s="5">
        <v>98.139133851431353</v>
      </c>
      <c r="D42" s="4">
        <v>2.9735302238219714</v>
      </c>
      <c r="E42" s="2">
        <f t="shared" si="0"/>
        <v>24.534783462857838</v>
      </c>
      <c r="F42" s="2">
        <f t="shared" si="1"/>
        <v>74.338255595549285</v>
      </c>
      <c r="G42" s="2">
        <f t="shared" si="2"/>
        <v>49.803472132691446</v>
      </c>
      <c r="H42" s="2">
        <f t="shared" si="3"/>
        <v>98.87303905840713</v>
      </c>
      <c r="I42" s="1">
        <v>0</v>
      </c>
    </row>
    <row r="43" spans="1:9" ht="14.25" customHeight="1" x14ac:dyDescent="0.35">
      <c r="A43" s="1">
        <v>101</v>
      </c>
      <c r="B43" s="4">
        <v>0.80745494115184835</v>
      </c>
      <c r="C43" s="5">
        <v>44.206565132471155</v>
      </c>
      <c r="D43" s="4">
        <v>2.7161877353743753</v>
      </c>
      <c r="E43" s="2">
        <f t="shared" si="0"/>
        <v>11.051641283117789</v>
      </c>
      <c r="F43" s="2">
        <f t="shared" si="1"/>
        <v>67.904693384359376</v>
      </c>
      <c r="G43" s="2">
        <f t="shared" si="2"/>
        <v>56.853052101241587</v>
      </c>
      <c r="H43" s="2">
        <f t="shared" si="3"/>
        <v>78.956334667477165</v>
      </c>
      <c r="I43" s="1">
        <v>1</v>
      </c>
    </row>
    <row r="44" spans="1:9" ht="14.25" customHeight="1" x14ac:dyDescent="0.35">
      <c r="A44" s="1">
        <v>106</v>
      </c>
      <c r="B44" s="4">
        <v>1.7749600690362932</v>
      </c>
      <c r="C44" s="5">
        <v>28.688825017315832</v>
      </c>
      <c r="D44" s="4">
        <v>1.2547521838619498</v>
      </c>
      <c r="E44" s="2">
        <f t="shared" si="0"/>
        <v>7.172206254328958</v>
      </c>
      <c r="F44" s="2">
        <f t="shared" si="1"/>
        <v>31.368804596548745</v>
      </c>
      <c r="G44" s="2">
        <f t="shared" si="2"/>
        <v>24.196598342219787</v>
      </c>
      <c r="H44" s="2">
        <f t="shared" si="3"/>
        <v>38.541010850877704</v>
      </c>
      <c r="I44" s="1">
        <v>1</v>
      </c>
    </row>
    <row r="45" spans="1:9" ht="14.25" customHeight="1" x14ac:dyDescent="0.35">
      <c r="A45" s="1">
        <v>109</v>
      </c>
      <c r="B45" s="4">
        <v>2.7549304722085735</v>
      </c>
      <c r="C45" s="5">
        <v>22.014575282015713</v>
      </c>
      <c r="D45" s="4">
        <v>2.1939577068244605</v>
      </c>
      <c r="E45" s="2">
        <f t="shared" si="0"/>
        <v>5.5036438205039282</v>
      </c>
      <c r="F45" s="2">
        <f t="shared" si="1"/>
        <v>54.848942670611514</v>
      </c>
      <c r="G45" s="2">
        <f t="shared" si="2"/>
        <v>49.345298850107582</v>
      </c>
      <c r="H45" s="2">
        <f t="shared" si="3"/>
        <v>60.352586491115446</v>
      </c>
      <c r="I45" s="1">
        <v>1</v>
      </c>
    </row>
    <row r="46" spans="1:9" ht="14.25" customHeight="1" x14ac:dyDescent="0.35">
      <c r="A46" s="1">
        <v>110</v>
      </c>
      <c r="B46" s="4">
        <v>3.007300103705405</v>
      </c>
      <c r="C46" s="5">
        <v>86.642946188074916</v>
      </c>
      <c r="D46" s="4">
        <v>2.4565648399195563</v>
      </c>
      <c r="E46" s="2">
        <f t="shared" si="0"/>
        <v>21.660736547018729</v>
      </c>
      <c r="F46" s="2">
        <f t="shared" si="1"/>
        <v>61.41412099798891</v>
      </c>
      <c r="G46" s="2">
        <f t="shared" si="2"/>
        <v>39.753384450970181</v>
      </c>
      <c r="H46" s="2">
        <f t="shared" si="3"/>
        <v>83.074857545007632</v>
      </c>
      <c r="I46" s="1">
        <v>1</v>
      </c>
    </row>
    <row r="47" spans="1:9" ht="14.25" customHeight="1" x14ac:dyDescent="0.35">
      <c r="A47" s="1">
        <v>117</v>
      </c>
      <c r="B47" s="4">
        <v>9.9147964946269234</v>
      </c>
      <c r="C47" s="5">
        <v>3.5120389782008266</v>
      </c>
      <c r="D47" s="4">
        <v>0.93018048137586473</v>
      </c>
      <c r="E47" s="2">
        <f t="shared" si="0"/>
        <v>0.87800974455020664</v>
      </c>
      <c r="F47" s="2">
        <f t="shared" si="1"/>
        <v>23.254512034396619</v>
      </c>
      <c r="G47" s="2">
        <f t="shared" si="2"/>
        <v>22.376502289846414</v>
      </c>
      <c r="H47" s="2">
        <f t="shared" si="3"/>
        <v>24.132521778946824</v>
      </c>
      <c r="I47" s="1">
        <v>0</v>
      </c>
    </row>
    <row r="48" spans="1:9" ht="14.25" customHeight="1" x14ac:dyDescent="0.35">
      <c r="A48" s="1">
        <v>120</v>
      </c>
      <c r="B48" s="4">
        <v>7.1096906978640364</v>
      </c>
      <c r="C48" s="5">
        <v>0.76320367925554189</v>
      </c>
      <c r="D48" s="4">
        <v>0.39633753242700703</v>
      </c>
      <c r="E48" s="2">
        <f t="shared" si="0"/>
        <v>0.19080091981388547</v>
      </c>
      <c r="F48" s="2">
        <f t="shared" si="1"/>
        <v>9.9084383106751766</v>
      </c>
      <c r="G48" s="2">
        <f t="shared" si="2"/>
        <v>9.7176373908612916</v>
      </c>
      <c r="H48" s="2">
        <f t="shared" si="3"/>
        <v>10.099239230489061</v>
      </c>
      <c r="I48" s="1">
        <v>0</v>
      </c>
    </row>
    <row r="49" spans="1:9" ht="14.25" customHeight="1" x14ac:dyDescent="0.35">
      <c r="A49" s="1">
        <v>123</v>
      </c>
      <c r="B49" s="4">
        <v>9.1341854108012654</v>
      </c>
      <c r="C49" s="5">
        <v>8.9319799912231481</v>
      </c>
      <c r="D49" s="4">
        <v>3.180099477834184</v>
      </c>
      <c r="E49" s="2">
        <f t="shared" si="0"/>
        <v>2.232994997805787</v>
      </c>
      <c r="F49" s="2">
        <f t="shared" si="1"/>
        <v>79.502486945854599</v>
      </c>
      <c r="G49" s="2">
        <f t="shared" si="2"/>
        <v>77.26949194804881</v>
      </c>
      <c r="H49" s="2">
        <f t="shared" si="3"/>
        <v>81.735481943660389</v>
      </c>
      <c r="I49" s="1">
        <v>0</v>
      </c>
    </row>
    <row r="50" spans="1:9" ht="14.25" customHeight="1" x14ac:dyDescent="0.35">
      <c r="A50" s="1">
        <v>125</v>
      </c>
      <c r="B50" s="4">
        <v>2.0777241984874695</v>
      </c>
      <c r="C50" s="5">
        <v>50.845682537540462</v>
      </c>
      <c r="D50" s="4">
        <v>0.89302838226872172</v>
      </c>
      <c r="E50" s="2">
        <f t="shared" si="0"/>
        <v>12.711420634385115</v>
      </c>
      <c r="F50" s="2">
        <f t="shared" si="1"/>
        <v>22.325709556718042</v>
      </c>
      <c r="G50" s="2">
        <f t="shared" si="2"/>
        <v>9.6142889223329266</v>
      </c>
      <c r="H50" s="2">
        <f t="shared" si="3"/>
        <v>35.037130191103159</v>
      </c>
      <c r="I50" s="1">
        <v>0</v>
      </c>
    </row>
    <row r="51" spans="1:9" ht="14.25" customHeight="1" x14ac:dyDescent="0.35">
      <c r="A51" s="1">
        <v>127</v>
      </c>
      <c r="B51" s="4">
        <v>0.78425198697655851</v>
      </c>
      <c r="C51" s="5">
        <v>75.155495112271723</v>
      </c>
      <c r="D51" s="4">
        <v>1.1470770771953296</v>
      </c>
      <c r="E51" s="2">
        <f t="shared" si="0"/>
        <v>18.788873778067931</v>
      </c>
      <c r="F51" s="2">
        <f t="shared" si="1"/>
        <v>28.676926929883241</v>
      </c>
      <c r="G51" s="2">
        <f t="shared" si="2"/>
        <v>9.8880531518153099</v>
      </c>
      <c r="H51" s="2">
        <f t="shared" si="3"/>
        <v>47.465800707951175</v>
      </c>
      <c r="I51" s="1">
        <v>1</v>
      </c>
    </row>
    <row r="52" spans="1:9" ht="14.25" customHeight="1" x14ac:dyDescent="0.35">
      <c r="A52" s="1">
        <v>128</v>
      </c>
      <c r="B52" s="4">
        <v>3.1105955154469189</v>
      </c>
      <c r="C52" s="5">
        <v>97.376170710780329</v>
      </c>
      <c r="D52" s="4">
        <v>1.4899168860371081</v>
      </c>
      <c r="E52" s="2">
        <f t="shared" si="0"/>
        <v>24.344042677695082</v>
      </c>
      <c r="F52" s="2">
        <f t="shared" si="1"/>
        <v>37.247922150927707</v>
      </c>
      <c r="G52" s="2">
        <f t="shared" si="2"/>
        <v>12.903879473232625</v>
      </c>
      <c r="H52" s="2">
        <f t="shared" si="3"/>
        <v>61.591964828622793</v>
      </c>
      <c r="I52" s="1">
        <v>0</v>
      </c>
    </row>
    <row r="53" spans="1:9" ht="14.25" customHeight="1" x14ac:dyDescent="0.35">
      <c r="A53" s="1">
        <v>130</v>
      </c>
      <c r="B53" s="4">
        <v>2.9822966222881653</v>
      </c>
      <c r="C53" s="5">
        <v>77.672498664792172</v>
      </c>
      <c r="D53" s="4">
        <v>1.7810274119422222</v>
      </c>
      <c r="E53" s="2">
        <f t="shared" si="0"/>
        <v>19.418124666198043</v>
      </c>
      <c r="F53" s="2">
        <f t="shared" si="1"/>
        <v>44.525685298555558</v>
      </c>
      <c r="G53" s="2">
        <f t="shared" si="2"/>
        <v>25.107560632357515</v>
      </c>
      <c r="H53" s="2">
        <f t="shared" si="3"/>
        <v>63.943809964753598</v>
      </c>
      <c r="I53" s="1">
        <v>0</v>
      </c>
    </row>
    <row r="54" spans="1:9" ht="14.25" customHeight="1" x14ac:dyDescent="0.35">
      <c r="A54" s="1">
        <v>131</v>
      </c>
      <c r="B54" s="4">
        <v>2.0023713218743779</v>
      </c>
      <c r="C54" s="5">
        <v>75.08130176375748</v>
      </c>
      <c r="D54" s="4">
        <v>2.198647144770252</v>
      </c>
      <c r="E54" s="2">
        <f t="shared" si="0"/>
        <v>18.77032544093937</v>
      </c>
      <c r="F54" s="2">
        <f t="shared" si="1"/>
        <v>54.966178619256297</v>
      </c>
      <c r="G54" s="2">
        <f t="shared" si="2"/>
        <v>36.195853178316924</v>
      </c>
      <c r="H54" s="2">
        <f t="shared" si="3"/>
        <v>73.736504060195671</v>
      </c>
      <c r="I54" s="1">
        <v>1</v>
      </c>
    </row>
    <row r="55" spans="1:9" ht="14.25" customHeight="1" x14ac:dyDescent="0.35">
      <c r="A55" s="1">
        <v>134</v>
      </c>
      <c r="B55" s="4">
        <v>6.9975812264727395</v>
      </c>
      <c r="C55" s="5">
        <v>3.799987325510723</v>
      </c>
      <c r="D55" s="4">
        <v>2.4756499971209083</v>
      </c>
      <c r="E55" s="2">
        <f t="shared" si="0"/>
        <v>0.94999683137768076</v>
      </c>
      <c r="F55" s="2">
        <f t="shared" si="1"/>
        <v>61.89124992802271</v>
      </c>
      <c r="G55" s="2">
        <f t="shared" si="2"/>
        <v>60.941253096645028</v>
      </c>
      <c r="H55" s="2">
        <f t="shared" si="3"/>
        <v>62.841246759400391</v>
      </c>
      <c r="I55" s="1">
        <v>0</v>
      </c>
    </row>
    <row r="56" spans="1:9" ht="14.25" customHeight="1" x14ac:dyDescent="0.35">
      <c r="A56" s="1">
        <v>136</v>
      </c>
      <c r="B56" s="4">
        <v>3.3255229327175782</v>
      </c>
      <c r="C56" s="5">
        <v>2.524880477130953</v>
      </c>
      <c r="D56" s="4">
        <v>1.4373794322396951</v>
      </c>
      <c r="E56" s="2">
        <f t="shared" si="0"/>
        <v>0.63122011928273825</v>
      </c>
      <c r="F56" s="2">
        <f t="shared" si="1"/>
        <v>35.934485805992381</v>
      </c>
      <c r="G56" s="2">
        <f t="shared" si="2"/>
        <v>35.303265686709643</v>
      </c>
      <c r="H56" s="2">
        <f t="shared" si="3"/>
        <v>36.565705925275118</v>
      </c>
      <c r="I56" s="1">
        <v>1</v>
      </c>
    </row>
    <row r="57" spans="1:9" ht="14.25" customHeight="1" x14ac:dyDescent="0.35">
      <c r="A57" s="1">
        <v>137</v>
      </c>
      <c r="B57" s="4">
        <v>2.491868862856804</v>
      </c>
      <c r="C57" s="5">
        <v>25.62194565020318</v>
      </c>
      <c r="D57" s="4">
        <v>2.8262214267651853</v>
      </c>
      <c r="E57" s="2">
        <f t="shared" si="0"/>
        <v>6.4054864125507951</v>
      </c>
      <c r="F57" s="2">
        <f t="shared" si="1"/>
        <v>70.655535669129634</v>
      </c>
      <c r="G57" s="2">
        <f t="shared" si="2"/>
        <v>64.250049256578833</v>
      </c>
      <c r="H57" s="2">
        <f t="shared" si="3"/>
        <v>77.061022081680434</v>
      </c>
      <c r="I57" s="1">
        <v>1</v>
      </c>
    </row>
    <row r="58" spans="1:9" ht="14.25" customHeight="1" x14ac:dyDescent="0.35">
      <c r="A58" s="1">
        <v>142</v>
      </c>
      <c r="B58" s="4">
        <v>2.4528443145587877</v>
      </c>
      <c r="C58" s="5">
        <v>42.912030107568569</v>
      </c>
      <c r="D58" s="4">
        <v>2.3444717612414445</v>
      </c>
      <c r="E58" s="2">
        <f t="shared" si="0"/>
        <v>10.728007526892142</v>
      </c>
      <c r="F58" s="2">
        <f t="shared" si="1"/>
        <v>58.611794031036112</v>
      </c>
      <c r="G58" s="2">
        <f t="shared" si="2"/>
        <v>47.88378650414397</v>
      </c>
      <c r="H58" s="2">
        <f t="shared" si="3"/>
        <v>69.339801557928254</v>
      </c>
      <c r="I58" s="1">
        <v>1</v>
      </c>
    </row>
    <row r="59" spans="1:9" ht="14.25" customHeight="1" x14ac:dyDescent="0.35">
      <c r="A59" s="1">
        <v>145</v>
      </c>
      <c r="B59" s="4">
        <v>0.98081338394395035</v>
      </c>
      <c r="C59" s="5">
        <v>46.523428941277302</v>
      </c>
      <c r="D59" s="4">
        <v>1.2407981045838459</v>
      </c>
      <c r="E59" s="2">
        <f t="shared" si="0"/>
        <v>11.630857235319326</v>
      </c>
      <c r="F59" s="2">
        <f t="shared" si="1"/>
        <v>31.019952614596146</v>
      </c>
      <c r="G59" s="2">
        <f t="shared" si="2"/>
        <v>19.389095379276821</v>
      </c>
      <c r="H59" s="2">
        <f t="shared" si="3"/>
        <v>42.650809849915476</v>
      </c>
      <c r="I59" s="1">
        <v>1</v>
      </c>
    </row>
    <row r="60" spans="1:9" ht="14.25" customHeight="1" x14ac:dyDescent="0.35">
      <c r="A60" s="1">
        <v>147</v>
      </c>
      <c r="B60" s="4">
        <v>5.1786536735136863</v>
      </c>
      <c r="C60" s="5">
        <v>58.817699123914977</v>
      </c>
      <c r="D60" s="4">
        <v>3.1148294594265806</v>
      </c>
      <c r="E60" s="2">
        <f t="shared" si="0"/>
        <v>14.704424780978744</v>
      </c>
      <c r="F60" s="2">
        <f t="shared" si="1"/>
        <v>77.870736485664509</v>
      </c>
      <c r="G60" s="2">
        <f t="shared" si="2"/>
        <v>63.166311704685768</v>
      </c>
      <c r="H60" s="2">
        <f t="shared" si="3"/>
        <v>92.575161266643249</v>
      </c>
      <c r="I60" s="1">
        <v>1</v>
      </c>
    </row>
    <row r="61" spans="1:9" ht="14.25" customHeight="1" x14ac:dyDescent="0.35">
      <c r="A61" s="1">
        <v>148</v>
      </c>
      <c r="B61" s="4">
        <v>3.8395221550412728</v>
      </c>
      <c r="C61" s="5">
        <v>40.518740678181651</v>
      </c>
      <c r="D61" s="4">
        <v>3.0738627037790183</v>
      </c>
      <c r="E61" s="2">
        <f t="shared" si="0"/>
        <v>10.129685169545413</v>
      </c>
      <c r="F61" s="2">
        <f t="shared" si="1"/>
        <v>76.846567594475459</v>
      </c>
      <c r="G61" s="2">
        <f t="shared" si="2"/>
        <v>66.716882424930049</v>
      </c>
      <c r="H61" s="2">
        <f t="shared" si="3"/>
        <v>86.97625276402087</v>
      </c>
      <c r="I61" s="1">
        <v>1</v>
      </c>
    </row>
    <row r="62" spans="1:9" ht="14.25" customHeight="1" x14ac:dyDescent="0.35">
      <c r="A62" s="1">
        <v>154</v>
      </c>
      <c r="B62" s="4">
        <v>5.5162632285285778</v>
      </c>
      <c r="C62" s="5">
        <v>3.9009762321333241</v>
      </c>
      <c r="D62" s="4">
        <v>0.49669752154335417</v>
      </c>
      <c r="E62" s="2">
        <f t="shared" si="0"/>
        <v>0.97524405803333103</v>
      </c>
      <c r="F62" s="2">
        <f t="shared" si="1"/>
        <v>12.417438038583855</v>
      </c>
      <c r="G62" s="2">
        <f t="shared" si="2"/>
        <v>11.442193980550524</v>
      </c>
      <c r="H62" s="2">
        <f t="shared" si="3"/>
        <v>13.392682096617186</v>
      </c>
      <c r="I62" s="1">
        <v>0</v>
      </c>
    </row>
    <row r="63" spans="1:9" ht="14.25" customHeight="1" x14ac:dyDescent="0.35">
      <c r="A63" s="1">
        <v>160</v>
      </c>
      <c r="B63" s="4">
        <v>2.8988993905741078</v>
      </c>
      <c r="C63" s="5">
        <v>28.178925172206469</v>
      </c>
      <c r="D63" s="4">
        <v>2.3472454222929566</v>
      </c>
      <c r="E63" s="2">
        <f t="shared" si="0"/>
        <v>7.0447312930516173</v>
      </c>
      <c r="F63" s="2">
        <f t="shared" si="1"/>
        <v>58.681135557323913</v>
      </c>
      <c r="G63" s="2">
        <f t="shared" si="2"/>
        <v>51.636404264272294</v>
      </c>
      <c r="H63" s="2">
        <f t="shared" si="3"/>
        <v>65.725866850375525</v>
      </c>
      <c r="I63" s="1">
        <v>1</v>
      </c>
    </row>
    <row r="64" spans="1:9" ht="14.25" customHeight="1" x14ac:dyDescent="0.35">
      <c r="A64" s="1">
        <v>162</v>
      </c>
      <c r="B64" s="4">
        <v>2.7340007245007492</v>
      </c>
      <c r="C64" s="5">
        <v>6.5138259157154987</v>
      </c>
      <c r="D64" s="4">
        <v>0.55763237642495711</v>
      </c>
      <c r="E64" s="2">
        <f t="shared" si="0"/>
        <v>1.6284564789288747</v>
      </c>
      <c r="F64" s="2">
        <f t="shared" si="1"/>
        <v>13.940809410623928</v>
      </c>
      <c r="G64" s="2">
        <f t="shared" si="2"/>
        <v>12.312352931695052</v>
      </c>
      <c r="H64" s="2">
        <f t="shared" si="3"/>
        <v>15.569265889552803</v>
      </c>
      <c r="I64" s="1">
        <v>0</v>
      </c>
    </row>
    <row r="65" spans="1:9" ht="14.25" customHeight="1" x14ac:dyDescent="0.35">
      <c r="A65" s="1">
        <v>164</v>
      </c>
      <c r="B65" s="4">
        <v>5.406941738209686</v>
      </c>
      <c r="C65" s="5">
        <v>37.327147734103704</v>
      </c>
      <c r="D65" s="4">
        <v>3.0724319856938305</v>
      </c>
      <c r="E65" s="2">
        <f t="shared" si="0"/>
        <v>9.331786933525926</v>
      </c>
      <c r="F65" s="2">
        <f t="shared" si="1"/>
        <v>76.810799642345756</v>
      </c>
      <c r="G65" s="2">
        <f t="shared" si="2"/>
        <v>67.479012708819823</v>
      </c>
      <c r="H65" s="2">
        <f t="shared" si="3"/>
        <v>86.14258657587169</v>
      </c>
      <c r="I65" s="1">
        <v>1</v>
      </c>
    </row>
    <row r="66" spans="1:9" ht="14.25" customHeight="1" x14ac:dyDescent="0.35">
      <c r="A66" s="1">
        <v>170</v>
      </c>
      <c r="B66" s="4">
        <v>1.3460155598940049</v>
      </c>
      <c r="C66" s="5">
        <v>1.3651895512938883</v>
      </c>
      <c r="D66" s="4">
        <v>1.2833586602896205</v>
      </c>
      <c r="E66" s="2">
        <f t="shared" si="0"/>
        <v>0.34129738782347208</v>
      </c>
      <c r="F66" s="2">
        <f t="shared" si="1"/>
        <v>32.083966507240511</v>
      </c>
      <c r="G66" s="2">
        <f t="shared" si="2"/>
        <v>31.742669119417037</v>
      </c>
      <c r="H66" s="2">
        <f t="shared" si="3"/>
        <v>32.425263895063985</v>
      </c>
      <c r="I66" s="1">
        <v>1</v>
      </c>
    </row>
    <row r="67" spans="1:9" ht="14.25" customHeight="1" x14ac:dyDescent="0.35">
      <c r="A67" s="1">
        <v>171</v>
      </c>
      <c r="B67" s="4">
        <v>9.703695819620302</v>
      </c>
      <c r="C67" s="5">
        <v>22.860333833081558</v>
      </c>
      <c r="D67" s="4">
        <v>2.8510286984942832</v>
      </c>
      <c r="E67" s="2">
        <f t="shared" si="0"/>
        <v>5.7150834582703895</v>
      </c>
      <c r="F67" s="2">
        <f t="shared" si="1"/>
        <v>71.275717462357079</v>
      </c>
      <c r="G67" s="2">
        <f t="shared" si="2"/>
        <v>65.560634004086694</v>
      </c>
      <c r="H67" s="2">
        <f t="shared" si="3"/>
        <v>76.990800920627464</v>
      </c>
      <c r="I67" s="1">
        <v>0</v>
      </c>
    </row>
    <row r="68" spans="1:9" ht="14.25" customHeight="1" x14ac:dyDescent="0.35">
      <c r="A68" s="1">
        <v>173</v>
      </c>
      <c r="B68" s="4">
        <v>4.7034226772276986</v>
      </c>
      <c r="C68" s="5">
        <v>25.74964019746432</v>
      </c>
      <c r="D68" s="4">
        <v>2.3417785265083708</v>
      </c>
      <c r="E68" s="2">
        <f t="shared" si="0"/>
        <v>6.43741004936608</v>
      </c>
      <c r="F68" s="2">
        <f t="shared" si="1"/>
        <v>58.54446316270927</v>
      </c>
      <c r="G68" s="2">
        <f t="shared" si="2"/>
        <v>52.107053113343191</v>
      </c>
      <c r="H68" s="2">
        <f t="shared" si="3"/>
        <v>64.981873212075357</v>
      </c>
      <c r="I68" s="1">
        <v>1</v>
      </c>
    </row>
    <row r="69" spans="1:9" ht="14.25" customHeight="1" x14ac:dyDescent="0.35">
      <c r="A69" s="1">
        <v>175</v>
      </c>
      <c r="B69" s="4">
        <v>6.0934208127887102</v>
      </c>
      <c r="C69" s="5">
        <v>5.1068824849209165</v>
      </c>
      <c r="D69" s="4">
        <v>1.2705269871456333</v>
      </c>
      <c r="E69" s="2">
        <f t="shared" si="0"/>
        <v>1.2767206212302291</v>
      </c>
      <c r="F69" s="2">
        <f t="shared" si="1"/>
        <v>31.763174678640834</v>
      </c>
      <c r="G69" s="2">
        <f t="shared" si="2"/>
        <v>30.486454057410604</v>
      </c>
      <c r="H69" s="2">
        <f t="shared" si="3"/>
        <v>33.039895299871063</v>
      </c>
      <c r="I69" s="1">
        <v>0</v>
      </c>
    </row>
    <row r="70" spans="1:9" ht="14.25" customHeight="1" x14ac:dyDescent="0.35">
      <c r="A70" s="1">
        <v>176</v>
      </c>
      <c r="B70" s="4">
        <v>1.9957645744781394</v>
      </c>
      <c r="C70" s="5">
        <v>61.731184328294916</v>
      </c>
      <c r="D70" s="4">
        <v>2.1708540098049571</v>
      </c>
      <c r="E70" s="2">
        <f t="shared" si="0"/>
        <v>15.432796082073729</v>
      </c>
      <c r="F70" s="2">
        <f t="shared" si="1"/>
        <v>54.271350245123926</v>
      </c>
      <c r="G70" s="2">
        <f t="shared" si="2"/>
        <v>38.838554163050198</v>
      </c>
      <c r="H70" s="2">
        <f t="shared" si="3"/>
        <v>69.704146327197662</v>
      </c>
      <c r="I70" s="1">
        <v>1</v>
      </c>
    </row>
    <row r="71" spans="1:9" ht="14.25" customHeight="1" x14ac:dyDescent="0.35">
      <c r="A71" s="1">
        <v>179</v>
      </c>
      <c r="B71" s="4">
        <v>2.7593413874763382</v>
      </c>
      <c r="C71" s="5">
        <v>37.717847015864102</v>
      </c>
      <c r="D71" s="4">
        <v>1.165261337888724</v>
      </c>
      <c r="E71" s="2">
        <f t="shared" si="0"/>
        <v>9.4294617539660255</v>
      </c>
      <c r="F71" s="2">
        <f t="shared" si="1"/>
        <v>29.1315334472181</v>
      </c>
      <c r="G71" s="2">
        <f t="shared" si="2"/>
        <v>19.702071693252073</v>
      </c>
      <c r="H71" s="2">
        <f t="shared" si="3"/>
        <v>38.560995201184127</v>
      </c>
      <c r="I71" s="1">
        <v>0</v>
      </c>
    </row>
    <row r="72" spans="1:9" ht="14.25" customHeight="1" x14ac:dyDescent="0.35">
      <c r="A72" s="1">
        <v>185</v>
      </c>
      <c r="B72" s="4">
        <v>6.2493587123033674</v>
      </c>
      <c r="C72" s="5">
        <v>0.83710041948734659</v>
      </c>
      <c r="D72" s="4">
        <v>1.6639185068781452</v>
      </c>
      <c r="E72" s="2">
        <f t="shared" si="0"/>
        <v>0.20927510487183665</v>
      </c>
      <c r="F72" s="2">
        <f t="shared" si="1"/>
        <v>41.597962671953631</v>
      </c>
      <c r="G72" s="2">
        <f t="shared" si="2"/>
        <v>41.388687567081796</v>
      </c>
      <c r="H72" s="2">
        <f t="shared" si="3"/>
        <v>41.807237776825467</v>
      </c>
      <c r="I72" s="1">
        <v>0</v>
      </c>
    </row>
    <row r="73" spans="1:9" ht="14.25" customHeight="1" x14ac:dyDescent="0.35">
      <c r="A73" s="1">
        <v>187</v>
      </c>
      <c r="B73" s="4">
        <v>8.1962620505895138</v>
      </c>
      <c r="C73" s="5">
        <v>5.8336115764625163</v>
      </c>
      <c r="D73" s="4">
        <v>3.0270735070860235</v>
      </c>
      <c r="E73" s="2">
        <f t="shared" si="0"/>
        <v>1.4584028941156291</v>
      </c>
      <c r="F73" s="2">
        <f t="shared" si="1"/>
        <v>75.676837677150587</v>
      </c>
      <c r="G73" s="2">
        <f t="shared" si="2"/>
        <v>74.218434783034951</v>
      </c>
      <c r="H73" s="2">
        <f t="shared" si="3"/>
        <v>77.135240571266223</v>
      </c>
      <c r="I73" s="1">
        <v>0</v>
      </c>
    </row>
    <row r="74" spans="1:9" ht="14.25" customHeight="1" x14ac:dyDescent="0.35">
      <c r="A74" s="1">
        <v>189</v>
      </c>
      <c r="B74" s="4">
        <v>2.7549304722085735</v>
      </c>
      <c r="C74" s="5">
        <v>3.3564263002695105</v>
      </c>
      <c r="D74" s="4">
        <v>2.5770529539922049</v>
      </c>
      <c r="E74" s="2">
        <f t="shared" si="0"/>
        <v>0.83910657506737762</v>
      </c>
      <c r="F74" s="2">
        <f t="shared" si="1"/>
        <v>64.426323849805129</v>
      </c>
      <c r="G74" s="2">
        <f t="shared" si="2"/>
        <v>63.587217274737753</v>
      </c>
      <c r="H74" s="2">
        <f t="shared" si="3"/>
        <v>65.265430424872505</v>
      </c>
      <c r="I74" s="1">
        <v>1</v>
      </c>
    </row>
    <row r="75" spans="1:9" ht="14.25" customHeight="1" x14ac:dyDescent="0.35">
      <c r="A75" s="1">
        <v>194</v>
      </c>
      <c r="B75" s="4">
        <v>9.7206056137448158</v>
      </c>
      <c r="C75" s="5">
        <v>59.260247475827363</v>
      </c>
      <c r="D75" s="4">
        <v>2.9136552685560955</v>
      </c>
      <c r="E75" s="2">
        <f t="shared" si="0"/>
        <v>14.815061868956841</v>
      </c>
      <c r="F75" s="2">
        <f t="shared" si="1"/>
        <v>72.841381713902393</v>
      </c>
      <c r="G75" s="2">
        <f t="shared" si="2"/>
        <v>58.026319844945554</v>
      </c>
      <c r="H75" s="2">
        <f t="shared" si="3"/>
        <v>87.656443582859239</v>
      </c>
      <c r="I75" s="1">
        <v>0</v>
      </c>
    </row>
    <row r="76" spans="1:9" ht="14.25" customHeight="1" x14ac:dyDescent="0.35">
      <c r="A76" s="1">
        <v>203</v>
      </c>
      <c r="B76" s="4">
        <v>2.7139433467080956</v>
      </c>
      <c r="C76" s="5">
        <v>75.231806135163538</v>
      </c>
      <c r="D76" s="4">
        <v>0.86074928419523</v>
      </c>
      <c r="E76" s="2">
        <f t="shared" si="0"/>
        <v>18.807951533790884</v>
      </c>
      <c r="F76" s="2">
        <f t="shared" si="1"/>
        <v>21.518732104880751</v>
      </c>
      <c r="G76" s="2">
        <f t="shared" si="2"/>
        <v>2.7107805710898667</v>
      </c>
      <c r="H76" s="2">
        <f t="shared" si="3"/>
        <v>40.326683638671639</v>
      </c>
      <c r="I76" s="1">
        <v>0</v>
      </c>
    </row>
    <row r="77" spans="1:9" ht="14.25" customHeight="1" x14ac:dyDescent="0.35">
      <c r="A77" s="1">
        <v>207</v>
      </c>
      <c r="B77" s="4">
        <v>0.53226354816753751</v>
      </c>
      <c r="C77" s="5">
        <v>36.389595342580009</v>
      </c>
      <c r="D77" s="4">
        <v>0.55340951299649488</v>
      </c>
      <c r="E77" s="2">
        <f t="shared" si="0"/>
        <v>9.0973988356450022</v>
      </c>
      <c r="F77" s="2">
        <f t="shared" si="1"/>
        <v>13.835237824912372</v>
      </c>
      <c r="G77" s="2">
        <f t="shared" si="2"/>
        <v>4.7378389892673702</v>
      </c>
      <c r="H77" s="2">
        <f t="shared" si="3"/>
        <v>22.932636660557375</v>
      </c>
      <c r="I77" s="1">
        <v>0</v>
      </c>
    </row>
    <row r="78" spans="1:9" ht="14.25" customHeight="1" x14ac:dyDescent="0.35">
      <c r="A78" s="1">
        <v>210</v>
      </c>
      <c r="B78" s="4">
        <v>7.9621559060366964</v>
      </c>
      <c r="C78" s="5">
        <v>15.762504913395659</v>
      </c>
      <c r="D78" s="4">
        <v>2.787926388417501</v>
      </c>
      <c r="E78" s="2">
        <f t="shared" si="0"/>
        <v>3.9406262283489149</v>
      </c>
      <c r="F78" s="2">
        <f t="shared" si="1"/>
        <v>69.698159710437523</v>
      </c>
      <c r="G78" s="2">
        <f t="shared" si="2"/>
        <v>65.757533482088604</v>
      </c>
      <c r="H78" s="2">
        <f t="shared" si="3"/>
        <v>73.638785938786441</v>
      </c>
      <c r="I78" s="1">
        <v>0</v>
      </c>
    </row>
    <row r="79" spans="1:9" ht="14.25" customHeight="1" x14ac:dyDescent="0.35">
      <c r="A79" s="1">
        <v>211</v>
      </c>
      <c r="B79" s="4">
        <v>0.81867101102743978</v>
      </c>
      <c r="C79" s="5">
        <v>5.887416434062831</v>
      </c>
      <c r="D79" s="4">
        <v>0.46608038839524435</v>
      </c>
      <c r="E79" s="2">
        <f t="shared" si="0"/>
        <v>1.4718541085157077</v>
      </c>
      <c r="F79" s="2">
        <f t="shared" si="1"/>
        <v>11.652009709881108</v>
      </c>
      <c r="G79" s="2">
        <f t="shared" si="2"/>
        <v>10.180155601365401</v>
      </c>
      <c r="H79" s="2">
        <f t="shared" si="3"/>
        <v>13.123863818396815</v>
      </c>
      <c r="I79" s="1">
        <v>1</v>
      </c>
    </row>
    <row r="80" spans="1:9" ht="14.25" customHeight="1" x14ac:dyDescent="0.35">
      <c r="A80" s="1">
        <v>217</v>
      </c>
      <c r="B80" s="4">
        <v>3.4400274060550249</v>
      </c>
      <c r="C80" s="5">
        <v>13.071885606202628</v>
      </c>
      <c r="D80" s="4">
        <v>2.6731938158554676</v>
      </c>
      <c r="E80" s="2">
        <f t="shared" si="0"/>
        <v>3.2679714015506569</v>
      </c>
      <c r="F80" s="2">
        <f t="shared" si="1"/>
        <v>66.829845396386688</v>
      </c>
      <c r="G80" s="2">
        <f t="shared" si="2"/>
        <v>63.561873994836034</v>
      </c>
      <c r="H80" s="2">
        <f t="shared" si="3"/>
        <v>70.097816797937341</v>
      </c>
      <c r="I80" s="1">
        <v>1</v>
      </c>
    </row>
    <row r="81" spans="1:9" ht="14.25" customHeight="1" x14ac:dyDescent="0.35">
      <c r="A81" s="1">
        <v>219</v>
      </c>
      <c r="B81" s="4">
        <v>3.2301307779373345</v>
      </c>
      <c r="C81" s="5">
        <v>64.124598766676854</v>
      </c>
      <c r="D81" s="4">
        <v>2.9072393647281762</v>
      </c>
      <c r="E81" s="2">
        <f t="shared" si="0"/>
        <v>16.031149691669214</v>
      </c>
      <c r="F81" s="2">
        <f t="shared" si="1"/>
        <v>72.680984118204407</v>
      </c>
      <c r="G81" s="2">
        <f t="shared" si="2"/>
        <v>56.649834426535193</v>
      </c>
      <c r="H81" s="2">
        <f t="shared" si="3"/>
        <v>88.71213380987362</v>
      </c>
      <c r="I81" s="1">
        <v>1</v>
      </c>
    </row>
    <row r="82" spans="1:9" ht="14.25" customHeight="1" x14ac:dyDescent="0.35">
      <c r="A82" s="1">
        <v>220</v>
      </c>
      <c r="B82" s="4">
        <v>2.2304074359527681</v>
      </c>
      <c r="C82" s="5">
        <v>84.152262926483161</v>
      </c>
      <c r="D82" s="4">
        <v>0.60695155850954063</v>
      </c>
      <c r="E82" s="2">
        <f t="shared" si="0"/>
        <v>21.03806573162079</v>
      </c>
      <c r="F82" s="2">
        <f t="shared" si="1"/>
        <v>15.173788962738517</v>
      </c>
      <c r="G82" s="2">
        <f t="shared" si="2"/>
        <v>-5.8642767688822737</v>
      </c>
      <c r="H82" s="2">
        <f t="shared" si="3"/>
        <v>36.211854694359303</v>
      </c>
      <c r="I82" s="1">
        <v>0</v>
      </c>
    </row>
    <row r="83" spans="1:9" ht="14.25" customHeight="1" x14ac:dyDescent="0.35">
      <c r="A83" s="1">
        <v>221</v>
      </c>
      <c r="B83" s="4">
        <v>2.491868862856804</v>
      </c>
      <c r="C83" s="5">
        <v>16.146752125945817</v>
      </c>
      <c r="D83" s="4">
        <v>0.9871001480698447</v>
      </c>
      <c r="E83" s="2">
        <f t="shared" si="0"/>
        <v>4.0366880314864542</v>
      </c>
      <c r="F83" s="2">
        <f t="shared" si="1"/>
        <v>24.677503701746119</v>
      </c>
      <c r="G83" s="2">
        <f t="shared" si="2"/>
        <v>20.640815670259663</v>
      </c>
      <c r="H83" s="2">
        <f t="shared" si="3"/>
        <v>28.714191733232575</v>
      </c>
      <c r="I83" s="1">
        <v>0</v>
      </c>
    </row>
    <row r="84" spans="1:9" ht="14.25" customHeight="1" x14ac:dyDescent="0.35">
      <c r="A84" s="1">
        <v>225</v>
      </c>
      <c r="B84" s="4">
        <v>2.5037188976248204</v>
      </c>
      <c r="C84" s="5">
        <v>14.121779923858002</v>
      </c>
      <c r="D84" s="4">
        <v>2.0271704318826287</v>
      </c>
      <c r="E84" s="2">
        <f t="shared" si="0"/>
        <v>3.5304449809645004</v>
      </c>
      <c r="F84" s="2">
        <f t="shared" si="1"/>
        <v>50.679260797065716</v>
      </c>
      <c r="G84" s="2">
        <f t="shared" si="2"/>
        <v>47.148815816101212</v>
      </c>
      <c r="H84" s="2">
        <f t="shared" si="3"/>
        <v>54.209705778030219</v>
      </c>
      <c r="I84" s="1">
        <v>1</v>
      </c>
    </row>
    <row r="85" spans="1:9" ht="14.25" customHeight="1" x14ac:dyDescent="0.35">
      <c r="A85" s="1">
        <v>227</v>
      </c>
      <c r="B85" s="4">
        <v>2.3515062762857806</v>
      </c>
      <c r="C85" s="5">
        <v>44.381497892951174</v>
      </c>
      <c r="D85" s="4">
        <v>2.2611487206866423</v>
      </c>
      <c r="E85" s="2">
        <f t="shared" si="0"/>
        <v>11.095374473237793</v>
      </c>
      <c r="F85" s="2">
        <f t="shared" si="1"/>
        <v>56.528718017166057</v>
      </c>
      <c r="G85" s="2">
        <f t="shared" si="2"/>
        <v>45.43334354392826</v>
      </c>
      <c r="H85" s="2">
        <f t="shared" si="3"/>
        <v>67.624092490403854</v>
      </c>
      <c r="I85" s="1">
        <v>1</v>
      </c>
    </row>
    <row r="86" spans="1:9" ht="14.25" customHeight="1" x14ac:dyDescent="0.35">
      <c r="A86" s="1">
        <v>228</v>
      </c>
      <c r="B86" s="4">
        <v>1.6179579069834471</v>
      </c>
      <c r="C86" s="5">
        <v>77.846081258095083</v>
      </c>
      <c r="D86" s="4">
        <v>1.5757920840740667</v>
      </c>
      <c r="E86" s="2">
        <f t="shared" si="0"/>
        <v>19.461520314523771</v>
      </c>
      <c r="F86" s="2">
        <f t="shared" si="1"/>
        <v>39.394802101851667</v>
      </c>
      <c r="G86" s="2">
        <f t="shared" si="2"/>
        <v>19.933281787327896</v>
      </c>
      <c r="H86" s="2">
        <f t="shared" si="3"/>
        <v>58.856322416375434</v>
      </c>
      <c r="I86" s="1">
        <v>1</v>
      </c>
    </row>
    <row r="87" spans="1:9" ht="14.25" customHeight="1" x14ac:dyDescent="0.35">
      <c r="A87" s="1">
        <v>229</v>
      </c>
      <c r="B87" s="4">
        <v>1.9197897374801554</v>
      </c>
      <c r="C87" s="5">
        <v>18.110023918022566</v>
      </c>
      <c r="D87" s="4">
        <v>0.93783842852660837</v>
      </c>
      <c r="E87" s="2">
        <f t="shared" si="0"/>
        <v>4.5275059795056416</v>
      </c>
      <c r="F87" s="2">
        <f t="shared" si="1"/>
        <v>23.44596071316521</v>
      </c>
      <c r="G87" s="2">
        <f t="shared" si="2"/>
        <v>18.918454733659569</v>
      </c>
      <c r="H87" s="2">
        <f t="shared" si="3"/>
        <v>27.973466692670851</v>
      </c>
      <c r="I87" s="1">
        <v>0</v>
      </c>
    </row>
    <row r="88" spans="1:9" ht="14.25" customHeight="1" x14ac:dyDescent="0.35">
      <c r="A88" s="1">
        <v>230</v>
      </c>
      <c r="B88" s="4">
        <v>2.6857950774990522</v>
      </c>
      <c r="C88" s="5">
        <v>8.7692103692377561</v>
      </c>
      <c r="D88" s="4">
        <v>0.79687076778770605</v>
      </c>
      <c r="E88" s="2">
        <f t="shared" si="0"/>
        <v>2.192302592309439</v>
      </c>
      <c r="F88" s="2">
        <f t="shared" si="1"/>
        <v>19.921769194692651</v>
      </c>
      <c r="G88" s="2">
        <f t="shared" si="2"/>
        <v>17.729466602383212</v>
      </c>
      <c r="H88" s="2">
        <f t="shared" si="3"/>
        <v>22.114071787002089</v>
      </c>
      <c r="I88" s="1">
        <v>0</v>
      </c>
    </row>
    <row r="89" spans="1:9" ht="14.25" customHeight="1" x14ac:dyDescent="0.35">
      <c r="A89" s="1">
        <v>237</v>
      </c>
      <c r="B89" s="4">
        <v>3.1091345564660191</v>
      </c>
      <c r="C89" s="5">
        <v>93.062008689975769</v>
      </c>
      <c r="D89" s="4">
        <v>2.1828649762581733</v>
      </c>
      <c r="E89" s="2">
        <f t="shared" si="0"/>
        <v>23.265502172493942</v>
      </c>
      <c r="F89" s="2">
        <f t="shared" si="1"/>
        <v>54.571624406454333</v>
      </c>
      <c r="G89" s="2">
        <f t="shared" si="2"/>
        <v>31.306122233960391</v>
      </c>
      <c r="H89" s="2">
        <f t="shared" si="3"/>
        <v>77.837126578948272</v>
      </c>
      <c r="I89" s="1">
        <v>0</v>
      </c>
    </row>
    <row r="90" spans="1:9" ht="14.25" customHeight="1" x14ac:dyDescent="0.35">
      <c r="A90" s="1">
        <v>238</v>
      </c>
      <c r="B90" s="4">
        <v>2.8667342608148338</v>
      </c>
      <c r="C90" s="5">
        <v>48.28985237351192</v>
      </c>
      <c r="D90" s="4">
        <v>2.8999449069990835</v>
      </c>
      <c r="E90" s="2">
        <f t="shared" si="0"/>
        <v>12.07246309337798</v>
      </c>
      <c r="F90" s="2">
        <f t="shared" si="1"/>
        <v>72.498622674977085</v>
      </c>
      <c r="G90" s="2">
        <f t="shared" si="2"/>
        <v>60.426159581599109</v>
      </c>
      <c r="H90" s="2">
        <f t="shared" si="3"/>
        <v>84.571085768355061</v>
      </c>
      <c r="I90" s="1">
        <v>1</v>
      </c>
    </row>
    <row r="91" spans="1:9" ht="14.25" customHeight="1" x14ac:dyDescent="0.35">
      <c r="A91" s="1">
        <v>241</v>
      </c>
      <c r="B91" s="4">
        <v>3.1448978560422081</v>
      </c>
      <c r="C91" s="5">
        <v>31.506527351296821</v>
      </c>
      <c r="D91" s="4">
        <v>3.2495302594645055</v>
      </c>
      <c r="E91" s="2">
        <f t="shared" si="0"/>
        <v>7.8766318378242053</v>
      </c>
      <c r="F91" s="2">
        <f t="shared" si="1"/>
        <v>81.238256486612642</v>
      </c>
      <c r="G91" s="2">
        <f t="shared" si="2"/>
        <v>73.361624648788435</v>
      </c>
      <c r="H91" s="2">
        <f t="shared" si="3"/>
        <v>89.114888324436848</v>
      </c>
      <c r="I91" s="1">
        <v>1</v>
      </c>
    </row>
    <row r="92" spans="1:9" ht="14.25" customHeight="1" x14ac:dyDescent="0.35">
      <c r="A92" s="1">
        <v>242</v>
      </c>
      <c r="B92" s="4">
        <v>5.4238176620396752</v>
      </c>
      <c r="C92" s="5">
        <v>18.315613271358334</v>
      </c>
      <c r="D92" s="4">
        <v>2.9440702566979753</v>
      </c>
      <c r="E92" s="2">
        <f t="shared" si="0"/>
        <v>4.5789033178395835</v>
      </c>
      <c r="F92" s="2">
        <f t="shared" si="1"/>
        <v>73.60175641744938</v>
      </c>
      <c r="G92" s="2">
        <f t="shared" si="2"/>
        <v>69.02285309960979</v>
      </c>
      <c r="H92" s="2">
        <f t="shared" si="3"/>
        <v>78.18065973528897</v>
      </c>
      <c r="I92" s="1">
        <v>1</v>
      </c>
    </row>
    <row r="93" spans="1:9" ht="14.25" customHeight="1" x14ac:dyDescent="0.35">
      <c r="A93" s="1">
        <v>244</v>
      </c>
      <c r="B93" s="4">
        <v>7.5436734072691518</v>
      </c>
      <c r="C93" s="5">
        <v>8.1608320174484721</v>
      </c>
      <c r="D93" s="4">
        <v>2.479744844114252</v>
      </c>
      <c r="E93" s="2">
        <f t="shared" si="0"/>
        <v>2.040208004362118</v>
      </c>
      <c r="F93" s="2">
        <f t="shared" si="1"/>
        <v>61.993621102856302</v>
      </c>
      <c r="G93" s="2">
        <f t="shared" si="2"/>
        <v>59.953413098494181</v>
      </c>
      <c r="H93" s="2">
        <f t="shared" si="3"/>
        <v>64.033829107218423</v>
      </c>
      <c r="I93" s="1">
        <v>0</v>
      </c>
    </row>
    <row r="94" spans="1:9" ht="14.25" customHeight="1" x14ac:dyDescent="0.35">
      <c r="A94" s="1">
        <v>245</v>
      </c>
      <c r="B94" s="4">
        <v>2.7442337372913581</v>
      </c>
      <c r="C94" s="5">
        <v>38.775855511551626</v>
      </c>
      <c r="D94" s="4">
        <v>1.7461423990574174</v>
      </c>
      <c r="E94" s="2">
        <f t="shared" si="0"/>
        <v>9.6939638778879065</v>
      </c>
      <c r="F94" s="2">
        <f t="shared" si="1"/>
        <v>43.653559976435439</v>
      </c>
      <c r="G94" s="2">
        <f t="shared" si="2"/>
        <v>33.959596098547536</v>
      </c>
      <c r="H94" s="2">
        <f t="shared" si="3"/>
        <v>53.347523854323342</v>
      </c>
      <c r="I94" s="1">
        <v>1</v>
      </c>
    </row>
    <row r="95" spans="1:9" ht="14.25" customHeight="1" x14ac:dyDescent="0.35">
      <c r="A95" s="1">
        <v>249</v>
      </c>
      <c r="B95" s="4">
        <v>4.4567244466016103</v>
      </c>
      <c r="C95" s="5">
        <v>94.180393988887261</v>
      </c>
      <c r="D95" s="4">
        <v>2.478087688652729</v>
      </c>
      <c r="E95" s="2">
        <f t="shared" si="0"/>
        <v>23.545098497221815</v>
      </c>
      <c r="F95" s="2">
        <f t="shared" si="1"/>
        <v>61.952192216318224</v>
      </c>
      <c r="G95" s="2">
        <f t="shared" si="2"/>
        <v>38.407093719096409</v>
      </c>
      <c r="H95" s="2">
        <f t="shared" si="3"/>
        <v>85.497290713540039</v>
      </c>
      <c r="I95" s="1">
        <v>0</v>
      </c>
    </row>
    <row r="96" spans="1:9" ht="14.25" customHeight="1" x14ac:dyDescent="0.35">
      <c r="A96" s="1">
        <v>252</v>
      </c>
      <c r="B96" s="4">
        <v>2.3721224458470425</v>
      </c>
      <c r="C96" s="5">
        <v>65.229103657277548</v>
      </c>
      <c r="D96" s="4">
        <v>0.93048975915511445</v>
      </c>
      <c r="E96" s="2">
        <f t="shared" si="0"/>
        <v>16.307275914319387</v>
      </c>
      <c r="F96" s="2">
        <f t="shared" si="1"/>
        <v>23.262243978877862</v>
      </c>
      <c r="G96" s="2">
        <f t="shared" si="2"/>
        <v>6.954968064558475</v>
      </c>
      <c r="H96" s="2">
        <f t="shared" si="3"/>
        <v>39.569519893197253</v>
      </c>
      <c r="I96" s="1">
        <v>0</v>
      </c>
    </row>
    <row r="97" spans="1:9" ht="14.25" customHeight="1" x14ac:dyDescent="0.35">
      <c r="A97" s="1">
        <v>253</v>
      </c>
      <c r="B97" s="4">
        <v>4.7482068305568248</v>
      </c>
      <c r="C97" s="5">
        <v>38.27867830252584</v>
      </c>
      <c r="D97" s="4">
        <v>3.1426435446117109</v>
      </c>
      <c r="E97" s="2">
        <f t="shared" si="0"/>
        <v>9.56966957563146</v>
      </c>
      <c r="F97" s="2">
        <f t="shared" si="1"/>
        <v>78.56608861529277</v>
      </c>
      <c r="G97" s="2">
        <f t="shared" si="2"/>
        <v>68.996419039661305</v>
      </c>
      <c r="H97" s="2">
        <f t="shared" si="3"/>
        <v>88.135758190924236</v>
      </c>
      <c r="I97" s="1">
        <v>1</v>
      </c>
    </row>
    <row r="98" spans="1:9" ht="14.25" customHeight="1" x14ac:dyDescent="0.35">
      <c r="A98" s="1">
        <v>254</v>
      </c>
      <c r="B98" s="4">
        <v>4.7870116473770574</v>
      </c>
      <c r="C98" s="5">
        <v>40.881581255590341</v>
      </c>
      <c r="D98" s="4">
        <v>2.8350774468270128</v>
      </c>
      <c r="E98" s="2">
        <f t="shared" si="0"/>
        <v>10.220395313897585</v>
      </c>
      <c r="F98" s="2">
        <f t="shared" si="1"/>
        <v>70.876936170675322</v>
      </c>
      <c r="G98" s="2">
        <f t="shared" si="2"/>
        <v>60.656540856777738</v>
      </c>
      <c r="H98" s="2">
        <f t="shared" si="3"/>
        <v>81.097331484572905</v>
      </c>
      <c r="I98" s="1">
        <v>1</v>
      </c>
    </row>
    <row r="99" spans="1:9" ht="14.25" customHeight="1" x14ac:dyDescent="0.35">
      <c r="A99" s="1">
        <v>256</v>
      </c>
      <c r="B99" s="4">
        <v>2.7177912891118061</v>
      </c>
      <c r="C99" s="5">
        <v>43.42854429691252</v>
      </c>
      <c r="D99" s="4">
        <v>0.64014706509639674</v>
      </c>
      <c r="E99" s="2">
        <f t="shared" si="0"/>
        <v>10.85713607422813</v>
      </c>
      <c r="F99" s="2">
        <f t="shared" si="1"/>
        <v>16.00367662740992</v>
      </c>
      <c r="G99" s="2">
        <f t="shared" si="2"/>
        <v>5.14654055318179</v>
      </c>
      <c r="H99" s="2">
        <f t="shared" si="3"/>
        <v>26.86081270163805</v>
      </c>
      <c r="I99" s="1">
        <v>0</v>
      </c>
    </row>
    <row r="100" spans="1:9" ht="14.25" customHeight="1" x14ac:dyDescent="0.35">
      <c r="A100" s="1">
        <v>257</v>
      </c>
      <c r="B100" s="4">
        <v>3.6199716072181056</v>
      </c>
      <c r="C100" s="5">
        <v>67.560878456891089</v>
      </c>
      <c r="D100" s="4">
        <v>2.3726925345005347</v>
      </c>
      <c r="E100" s="2">
        <f t="shared" si="0"/>
        <v>16.890219614222772</v>
      </c>
      <c r="F100" s="2">
        <f t="shared" si="1"/>
        <v>59.317313362513367</v>
      </c>
      <c r="G100" s="2">
        <f t="shared" si="2"/>
        <v>42.427093748290595</v>
      </c>
      <c r="H100" s="2">
        <f t="shared" si="3"/>
        <v>76.207532976736132</v>
      </c>
      <c r="I100" s="1">
        <v>1</v>
      </c>
    </row>
    <row r="101" spans="1:9" ht="14.25" customHeight="1" x14ac:dyDescent="0.35">
      <c r="A101" s="1">
        <v>258</v>
      </c>
      <c r="B101" s="4">
        <v>0.90698840741772369</v>
      </c>
      <c r="C101" s="5">
        <v>91.398755111301185</v>
      </c>
      <c r="D101" s="4">
        <v>0.67602594067115451</v>
      </c>
      <c r="E101" s="2">
        <f t="shared" si="0"/>
        <v>22.849688777825296</v>
      </c>
      <c r="F101" s="2">
        <f t="shared" si="1"/>
        <v>16.900648516778862</v>
      </c>
      <c r="G101" s="2">
        <f t="shared" si="2"/>
        <v>-5.9490402610464344</v>
      </c>
      <c r="H101" s="2">
        <f t="shared" si="3"/>
        <v>39.750337294604158</v>
      </c>
      <c r="I101" s="1">
        <v>0</v>
      </c>
    </row>
    <row r="102" spans="1:9" ht="14.25" customHeight="1" x14ac:dyDescent="0.35">
      <c r="A102" s="1">
        <v>259</v>
      </c>
      <c r="B102" s="4">
        <v>5.4742963618038454</v>
      </c>
      <c r="C102" s="5">
        <v>1.4455122607918591</v>
      </c>
      <c r="D102" s="4">
        <v>0.5722002502080541</v>
      </c>
      <c r="E102" s="2">
        <f t="shared" si="0"/>
        <v>0.36137806519796478</v>
      </c>
      <c r="F102" s="2">
        <f t="shared" si="1"/>
        <v>14.305006255201352</v>
      </c>
      <c r="G102" s="2">
        <f t="shared" si="2"/>
        <v>13.943628190003388</v>
      </c>
      <c r="H102" s="2">
        <f t="shared" si="3"/>
        <v>14.666384320399317</v>
      </c>
      <c r="I102" s="1">
        <v>0</v>
      </c>
    </row>
    <row r="103" spans="1:9" ht="14.25" customHeight="1" x14ac:dyDescent="0.35">
      <c r="A103" s="1">
        <v>261</v>
      </c>
      <c r="B103" s="4">
        <v>0.80776163024559366</v>
      </c>
      <c r="C103" s="5">
        <v>92.17702313595197</v>
      </c>
      <c r="D103" s="4">
        <v>1.4567744320644436</v>
      </c>
      <c r="E103" s="2">
        <f t="shared" si="0"/>
        <v>23.044255783987992</v>
      </c>
      <c r="F103" s="2">
        <f t="shared" si="1"/>
        <v>36.419360801611091</v>
      </c>
      <c r="G103" s="2">
        <f t="shared" si="2"/>
        <v>13.375105017623099</v>
      </c>
      <c r="H103" s="2">
        <f t="shared" si="3"/>
        <v>59.463616585599084</v>
      </c>
      <c r="I103" s="1">
        <v>1</v>
      </c>
    </row>
    <row r="104" spans="1:9" ht="14.25" customHeight="1" x14ac:dyDescent="0.35">
      <c r="A104" s="1">
        <v>262</v>
      </c>
      <c r="B104" s="4">
        <v>9.6269990660610851</v>
      </c>
      <c r="C104" s="5">
        <v>21.585203079098626</v>
      </c>
      <c r="D104" s="4">
        <v>3.2157035876028734</v>
      </c>
      <c r="E104" s="2">
        <f t="shared" si="0"/>
        <v>5.3963007697746566</v>
      </c>
      <c r="F104" s="2">
        <f t="shared" si="1"/>
        <v>80.39258969007183</v>
      </c>
      <c r="G104" s="2">
        <f t="shared" si="2"/>
        <v>74.996288920297175</v>
      </c>
      <c r="H104" s="2">
        <f t="shared" si="3"/>
        <v>85.788890459846485</v>
      </c>
      <c r="I104" s="1">
        <v>0</v>
      </c>
    </row>
    <row r="105" spans="1:9" ht="14.25" customHeight="1" x14ac:dyDescent="0.35">
      <c r="A105" s="1">
        <v>263</v>
      </c>
      <c r="B105" s="4">
        <v>2.752843212110303</v>
      </c>
      <c r="C105" s="5">
        <v>53.87698911205505</v>
      </c>
      <c r="D105" s="4">
        <v>1.314036532834796</v>
      </c>
      <c r="E105" s="2">
        <f t="shared" si="0"/>
        <v>13.469247278013762</v>
      </c>
      <c r="F105" s="2">
        <f t="shared" si="1"/>
        <v>32.8509133208699</v>
      </c>
      <c r="G105" s="2">
        <f t="shared" si="2"/>
        <v>19.381666042856139</v>
      </c>
      <c r="H105" s="2">
        <f t="shared" si="3"/>
        <v>46.32016059888366</v>
      </c>
      <c r="I105" s="1">
        <v>0</v>
      </c>
    </row>
    <row r="106" spans="1:9" ht="14.25" customHeight="1" x14ac:dyDescent="0.35">
      <c r="A106" s="1">
        <v>266</v>
      </c>
      <c r="B106" s="4">
        <v>8.7261062006002135</v>
      </c>
      <c r="C106" s="5">
        <v>2.6849874073990421</v>
      </c>
      <c r="D106" s="4">
        <v>0.75084445986157222</v>
      </c>
      <c r="E106" s="2">
        <f t="shared" si="0"/>
        <v>0.67124685184976052</v>
      </c>
      <c r="F106" s="2">
        <f t="shared" si="1"/>
        <v>18.771111496539305</v>
      </c>
      <c r="G106" s="2">
        <f t="shared" si="2"/>
        <v>18.099864644689546</v>
      </c>
      <c r="H106" s="2">
        <f t="shared" si="3"/>
        <v>19.442358348389064</v>
      </c>
      <c r="I106" s="1">
        <v>0</v>
      </c>
    </row>
    <row r="107" spans="1:9" ht="14.25" customHeight="1" x14ac:dyDescent="0.35">
      <c r="A107" s="1">
        <v>270</v>
      </c>
      <c r="B107" s="4">
        <v>2.6440297825127281</v>
      </c>
      <c r="C107" s="5">
        <v>89.003019126070697</v>
      </c>
      <c r="D107" s="4">
        <v>2.5154628142861974</v>
      </c>
      <c r="E107" s="2">
        <f t="shared" si="0"/>
        <v>22.250754781517674</v>
      </c>
      <c r="F107" s="2">
        <f t="shared" si="1"/>
        <v>62.886570357154937</v>
      </c>
      <c r="G107" s="2">
        <f t="shared" si="2"/>
        <v>40.635815575637267</v>
      </c>
      <c r="H107" s="2">
        <f t="shared" si="3"/>
        <v>85.137325138672608</v>
      </c>
      <c r="I107" s="1">
        <v>1</v>
      </c>
    </row>
    <row r="108" spans="1:9" ht="14.25" customHeight="1" x14ac:dyDescent="0.35">
      <c r="A108" s="1">
        <v>273</v>
      </c>
      <c r="B108" s="4">
        <v>3.2528975429176779</v>
      </c>
      <c r="C108" s="5">
        <v>84.693555328778388</v>
      </c>
      <c r="D108" s="4">
        <v>1.599686353055632</v>
      </c>
      <c r="E108" s="2">
        <f t="shared" si="0"/>
        <v>21.173388832194597</v>
      </c>
      <c r="F108" s="2">
        <f t="shared" si="1"/>
        <v>39.992158826390799</v>
      </c>
      <c r="G108" s="2">
        <f t="shared" si="2"/>
        <v>18.818769994196202</v>
      </c>
      <c r="H108" s="2">
        <f t="shared" si="3"/>
        <v>61.165547658585396</v>
      </c>
      <c r="I108" s="1">
        <v>0</v>
      </c>
    </row>
    <row r="109" spans="1:9" ht="14.25" customHeight="1" x14ac:dyDescent="0.35">
      <c r="A109" s="1">
        <v>275</v>
      </c>
      <c r="B109" s="4">
        <v>1.1922314998958539</v>
      </c>
      <c r="C109" s="5">
        <v>42.638964580565528</v>
      </c>
      <c r="D109" s="4">
        <v>1.0719389308534297</v>
      </c>
      <c r="E109" s="2">
        <f t="shared" si="0"/>
        <v>10.659741145141382</v>
      </c>
      <c r="F109" s="2">
        <f t="shared" si="1"/>
        <v>26.798473271335745</v>
      </c>
      <c r="G109" s="2">
        <f t="shared" si="2"/>
        <v>16.138732126194363</v>
      </c>
      <c r="H109" s="2">
        <f t="shared" si="3"/>
        <v>37.458214416477126</v>
      </c>
      <c r="I109" s="1">
        <v>1</v>
      </c>
    </row>
    <row r="110" spans="1:9" ht="14.25" customHeight="1" x14ac:dyDescent="0.35">
      <c r="A110" s="1">
        <v>276</v>
      </c>
      <c r="B110" s="4">
        <v>1.2193151269162017</v>
      </c>
      <c r="C110" s="5">
        <v>83.575479608765036</v>
      </c>
      <c r="D110" s="4">
        <v>1.9661647388510972</v>
      </c>
      <c r="E110" s="2">
        <f t="shared" si="0"/>
        <v>20.893869902191259</v>
      </c>
      <c r="F110" s="2">
        <f t="shared" si="1"/>
        <v>49.154118471277428</v>
      </c>
      <c r="G110" s="2">
        <f t="shared" si="2"/>
        <v>28.260248569086169</v>
      </c>
      <c r="H110" s="2">
        <f t="shared" si="3"/>
        <v>70.047988373468684</v>
      </c>
      <c r="I110" s="1">
        <v>1</v>
      </c>
    </row>
    <row r="111" spans="1:9" ht="14.25" customHeight="1" x14ac:dyDescent="0.35">
      <c r="A111" s="1">
        <v>279</v>
      </c>
      <c r="B111" s="4">
        <v>3.0704284029135276</v>
      </c>
      <c r="C111" s="5">
        <v>53.771960856377831</v>
      </c>
      <c r="D111" s="4">
        <v>1.3058211502928894</v>
      </c>
      <c r="E111" s="2">
        <f t="shared" si="0"/>
        <v>13.442990214094458</v>
      </c>
      <c r="F111" s="2">
        <f t="shared" si="1"/>
        <v>32.645528757322232</v>
      </c>
      <c r="G111" s="2">
        <f t="shared" si="2"/>
        <v>19.202538543227774</v>
      </c>
      <c r="H111" s="2">
        <f t="shared" si="3"/>
        <v>46.08851897141669</v>
      </c>
      <c r="I111" s="1">
        <v>0</v>
      </c>
    </row>
    <row r="112" spans="1:9" ht="14.25" customHeight="1" x14ac:dyDescent="0.35">
      <c r="A112" s="1">
        <v>283</v>
      </c>
      <c r="B112" s="4">
        <v>3.8448475510169153</v>
      </c>
      <c r="C112" s="5">
        <v>54.919506925554998</v>
      </c>
      <c r="D112" s="4">
        <v>2.9561943070105556</v>
      </c>
      <c r="E112" s="2">
        <f t="shared" si="0"/>
        <v>13.72987673138875</v>
      </c>
      <c r="F112" s="2">
        <f t="shared" si="1"/>
        <v>73.904857675263884</v>
      </c>
      <c r="G112" s="2">
        <f t="shared" si="2"/>
        <v>60.174980943875134</v>
      </c>
      <c r="H112" s="2">
        <f t="shared" si="3"/>
        <v>87.634734406652626</v>
      </c>
      <c r="I112" s="1">
        <v>1</v>
      </c>
    </row>
    <row r="113" spans="1:9" ht="14.25" customHeight="1" x14ac:dyDescent="0.35">
      <c r="A113" s="1">
        <v>284</v>
      </c>
      <c r="B113" s="4">
        <v>2.1396947851162542</v>
      </c>
      <c r="C113" s="5">
        <v>67.170079721408385</v>
      </c>
      <c r="D113" s="4">
        <v>2.2969611523572326</v>
      </c>
      <c r="E113" s="2">
        <f t="shared" si="0"/>
        <v>16.792519930352096</v>
      </c>
      <c r="F113" s="2">
        <f t="shared" si="1"/>
        <v>57.424028808930814</v>
      </c>
      <c r="G113" s="2">
        <f t="shared" si="2"/>
        <v>40.631508878578714</v>
      </c>
      <c r="H113" s="2">
        <f t="shared" si="3"/>
        <v>74.216548739282914</v>
      </c>
      <c r="I113" s="1">
        <v>1</v>
      </c>
    </row>
    <row r="114" spans="1:9" ht="14.25" customHeight="1" x14ac:dyDescent="0.35">
      <c r="A114" s="1">
        <v>287</v>
      </c>
      <c r="B114" s="4">
        <v>3.6535349616576598</v>
      </c>
      <c r="C114" s="5">
        <v>34.621778427304996</v>
      </c>
      <c r="D114" s="4">
        <v>2.5292631646589934</v>
      </c>
      <c r="E114" s="2">
        <f t="shared" si="0"/>
        <v>8.6554446068262489</v>
      </c>
      <c r="F114" s="2">
        <f t="shared" si="1"/>
        <v>63.231579116474833</v>
      </c>
      <c r="G114" s="2">
        <f t="shared" si="2"/>
        <v>54.576134509648583</v>
      </c>
      <c r="H114" s="2">
        <f t="shared" si="3"/>
        <v>71.887023723301084</v>
      </c>
      <c r="I114" s="1">
        <v>1</v>
      </c>
    </row>
    <row r="115" spans="1:9" ht="14.25" customHeight="1" x14ac:dyDescent="0.35">
      <c r="A115" s="1">
        <v>290</v>
      </c>
      <c r="B115" s="4">
        <v>8.8008720509214928</v>
      </c>
      <c r="C115" s="5">
        <v>61.083392301559527</v>
      </c>
      <c r="D115" s="4">
        <v>3.0835691649408377</v>
      </c>
      <c r="E115" s="2">
        <f t="shared" si="0"/>
        <v>15.270848075389882</v>
      </c>
      <c r="F115" s="2">
        <f t="shared" si="1"/>
        <v>77.089229123520937</v>
      </c>
      <c r="G115" s="2">
        <f t="shared" si="2"/>
        <v>61.818381048131059</v>
      </c>
      <c r="H115" s="2">
        <f t="shared" si="3"/>
        <v>92.360077198910815</v>
      </c>
      <c r="I115" s="1">
        <v>0</v>
      </c>
    </row>
    <row r="116" spans="1:9" ht="14.25" customHeight="1" x14ac:dyDescent="0.35">
      <c r="A116" s="1">
        <v>294</v>
      </c>
      <c r="B116" s="4">
        <v>0.73039598797183691</v>
      </c>
      <c r="C116" s="5">
        <v>24.155105485004302</v>
      </c>
      <c r="D116" s="4">
        <v>0.83657005750647651</v>
      </c>
      <c r="E116" s="2">
        <f t="shared" si="0"/>
        <v>6.0387763712510756</v>
      </c>
      <c r="F116" s="2">
        <f t="shared" si="1"/>
        <v>20.914251437661914</v>
      </c>
      <c r="G116" s="2">
        <f t="shared" si="2"/>
        <v>14.875475066410839</v>
      </c>
      <c r="H116" s="2">
        <f t="shared" si="3"/>
        <v>26.953027808912989</v>
      </c>
      <c r="I116" s="1">
        <v>1</v>
      </c>
    </row>
    <row r="117" spans="1:9" ht="14.25" customHeight="1" x14ac:dyDescent="0.35">
      <c r="A117" s="1">
        <v>299</v>
      </c>
      <c r="B117" s="4">
        <v>4.99539812661091</v>
      </c>
      <c r="C117" s="5">
        <v>57.372636435802491</v>
      </c>
      <c r="D117" s="4">
        <v>3.0186446048768207</v>
      </c>
      <c r="E117" s="2">
        <f t="shared" si="0"/>
        <v>14.343159108950623</v>
      </c>
      <c r="F117" s="2">
        <f t="shared" si="1"/>
        <v>75.466115121920524</v>
      </c>
      <c r="G117" s="2">
        <f t="shared" si="2"/>
        <v>61.122956012969901</v>
      </c>
      <c r="H117" s="2">
        <f t="shared" si="3"/>
        <v>89.809274230871154</v>
      </c>
      <c r="I117" s="1">
        <v>1</v>
      </c>
    </row>
    <row r="118" spans="1:9" ht="14.25" customHeight="1" x14ac:dyDescent="0.35">
      <c r="A118" s="1">
        <v>301</v>
      </c>
      <c r="B118" s="4">
        <v>2.4905992248793387</v>
      </c>
      <c r="C118" s="5">
        <v>49.629883193599987</v>
      </c>
      <c r="D118" s="4">
        <v>0.58068498677882707</v>
      </c>
      <c r="E118" s="2">
        <f t="shared" si="0"/>
        <v>12.407470798399997</v>
      </c>
      <c r="F118" s="2">
        <f t="shared" si="1"/>
        <v>14.517124669470677</v>
      </c>
      <c r="G118" s="2">
        <f t="shared" si="2"/>
        <v>2.1096538710706803</v>
      </c>
      <c r="H118" s="2">
        <f t="shared" si="3"/>
        <v>26.924595467870674</v>
      </c>
      <c r="I118" s="1">
        <v>0</v>
      </c>
    </row>
    <row r="119" spans="1:9" ht="14.25" customHeight="1" x14ac:dyDescent="0.35">
      <c r="A119" s="1">
        <v>305</v>
      </c>
      <c r="B119" s="4">
        <v>0.80548397244653347</v>
      </c>
      <c r="C119" s="5">
        <v>96.175139060883183</v>
      </c>
      <c r="D119" s="4">
        <v>0.51230620832834872</v>
      </c>
      <c r="E119" s="2">
        <f t="shared" si="0"/>
        <v>24.043784765220796</v>
      </c>
      <c r="F119" s="2">
        <f t="shared" si="1"/>
        <v>12.807655208208718</v>
      </c>
      <c r="G119" s="2">
        <f t="shared" si="2"/>
        <v>-11.236129557012077</v>
      </c>
      <c r="H119" s="2">
        <f t="shared" si="3"/>
        <v>36.851439973429514</v>
      </c>
      <c r="I119" s="1">
        <v>0</v>
      </c>
    </row>
    <row r="120" spans="1:9" ht="14.25" customHeight="1" x14ac:dyDescent="0.35">
      <c r="A120" s="1">
        <v>311</v>
      </c>
      <c r="B120" s="4">
        <v>0.94644883652760803</v>
      </c>
      <c r="C120" s="5">
        <v>53.74667689256669</v>
      </c>
      <c r="D120" s="4">
        <v>0.70758033550660149</v>
      </c>
      <c r="E120" s="2">
        <f t="shared" si="0"/>
        <v>13.436669223141672</v>
      </c>
      <c r="F120" s="2">
        <f t="shared" si="1"/>
        <v>17.689508387665036</v>
      </c>
      <c r="G120" s="2">
        <f t="shared" si="2"/>
        <v>4.2528391645233636</v>
      </c>
      <c r="H120" s="2">
        <f t="shared" si="3"/>
        <v>31.126177610806707</v>
      </c>
      <c r="I120" s="1">
        <v>0</v>
      </c>
    </row>
    <row r="121" spans="1:9" ht="14.25" customHeight="1" x14ac:dyDescent="0.35">
      <c r="A121" s="1">
        <v>316</v>
      </c>
      <c r="B121" s="4">
        <v>2.011601739968516</v>
      </c>
      <c r="C121" s="5">
        <v>93.756399584674966</v>
      </c>
      <c r="D121" s="4">
        <v>2.7048470919491958</v>
      </c>
      <c r="E121" s="2">
        <f t="shared" si="0"/>
        <v>23.439099896168742</v>
      </c>
      <c r="F121" s="2">
        <f t="shared" si="1"/>
        <v>67.62117729872989</v>
      </c>
      <c r="G121" s="2">
        <f t="shared" si="2"/>
        <v>44.182077402561148</v>
      </c>
      <c r="H121" s="2">
        <f t="shared" si="3"/>
        <v>91.060277194898632</v>
      </c>
      <c r="I121" s="1">
        <v>1</v>
      </c>
    </row>
    <row r="122" spans="1:9" ht="14.25" customHeight="1" x14ac:dyDescent="0.35">
      <c r="A122" s="1">
        <v>317</v>
      </c>
      <c r="B122" s="4">
        <v>2.375879976802727</v>
      </c>
      <c r="C122" s="5">
        <v>85.288951892263583</v>
      </c>
      <c r="D122" s="4">
        <v>0.42659838856682947</v>
      </c>
      <c r="E122" s="2">
        <f t="shared" si="0"/>
        <v>21.322237973065896</v>
      </c>
      <c r="F122" s="2">
        <f t="shared" si="1"/>
        <v>10.664959714170736</v>
      </c>
      <c r="G122" s="2">
        <f t="shared" si="2"/>
        <v>-10.657278258895159</v>
      </c>
      <c r="H122" s="2">
        <f t="shared" si="3"/>
        <v>31.98719768723663</v>
      </c>
      <c r="I122" s="1">
        <v>0</v>
      </c>
    </row>
    <row r="123" spans="1:9" ht="14.25" customHeight="1" x14ac:dyDescent="0.35">
      <c r="A123" s="1">
        <v>318</v>
      </c>
      <c r="B123" s="4">
        <v>3.3418678268241009</v>
      </c>
      <c r="C123" s="5">
        <v>38.06870759926759</v>
      </c>
      <c r="D123" s="4">
        <v>2.4494361745649509</v>
      </c>
      <c r="E123" s="2">
        <f t="shared" si="0"/>
        <v>9.5171768998168975</v>
      </c>
      <c r="F123" s="2">
        <f t="shared" si="1"/>
        <v>61.235904364123769</v>
      </c>
      <c r="G123" s="2">
        <f t="shared" si="2"/>
        <v>51.718727464306873</v>
      </c>
      <c r="H123" s="2">
        <f t="shared" si="3"/>
        <v>70.753081263940672</v>
      </c>
      <c r="I123" s="1">
        <v>1</v>
      </c>
    </row>
    <row r="124" spans="1:9" ht="14.25" customHeight="1" x14ac:dyDescent="0.35">
      <c r="A124" s="1">
        <v>320</v>
      </c>
      <c r="B124" s="4">
        <v>2.830000131724538</v>
      </c>
      <c r="C124" s="5">
        <v>91.605800730371527</v>
      </c>
      <c r="D124" s="4">
        <v>1.1594194856160032</v>
      </c>
      <c r="E124" s="2">
        <f t="shared" si="0"/>
        <v>22.901450182592882</v>
      </c>
      <c r="F124" s="2">
        <f t="shared" si="1"/>
        <v>28.985487140400078</v>
      </c>
      <c r="G124" s="2">
        <f t="shared" si="2"/>
        <v>6.0840369578071964</v>
      </c>
      <c r="H124" s="2">
        <f t="shared" si="3"/>
        <v>51.886937322992964</v>
      </c>
      <c r="I124" s="1">
        <v>0</v>
      </c>
    </row>
    <row r="125" spans="1:9" ht="14.25" customHeight="1" x14ac:dyDescent="0.35">
      <c r="A125" s="1">
        <v>321</v>
      </c>
      <c r="B125" s="4">
        <v>4.4899206563214591</v>
      </c>
      <c r="C125" s="5">
        <v>3.5935791005926143</v>
      </c>
      <c r="D125" s="4">
        <v>1.7482527587274992</v>
      </c>
      <c r="E125" s="2">
        <f t="shared" si="0"/>
        <v>0.89839477514815358</v>
      </c>
      <c r="F125" s="2">
        <f t="shared" si="1"/>
        <v>43.706318968187482</v>
      </c>
      <c r="G125" s="2">
        <f t="shared" si="2"/>
        <v>42.807924193039327</v>
      </c>
      <c r="H125" s="2">
        <f t="shared" si="3"/>
        <v>44.604713743335637</v>
      </c>
      <c r="I125" s="1">
        <v>0</v>
      </c>
    </row>
    <row r="126" spans="1:9" ht="14.25" customHeight="1" x14ac:dyDescent="0.35">
      <c r="A126" s="1">
        <v>328</v>
      </c>
      <c r="B126" s="4">
        <v>9.6967657857914666</v>
      </c>
      <c r="C126" s="5">
        <v>64.717641157399143</v>
      </c>
      <c r="D126" s="4">
        <v>3.2170001967519184</v>
      </c>
      <c r="E126" s="2">
        <f t="shared" si="0"/>
        <v>16.179410289349786</v>
      </c>
      <c r="F126" s="2">
        <f t="shared" si="1"/>
        <v>80.425004918797953</v>
      </c>
      <c r="G126" s="2">
        <f t="shared" si="2"/>
        <v>64.245594629448163</v>
      </c>
      <c r="H126" s="2">
        <f t="shared" si="3"/>
        <v>96.604415208147742</v>
      </c>
      <c r="I126" s="1">
        <v>0</v>
      </c>
    </row>
    <row r="127" spans="1:9" ht="14.25" customHeight="1" x14ac:dyDescent="0.35">
      <c r="A127" s="1">
        <v>330</v>
      </c>
      <c r="B127" s="4">
        <v>3.0274886309987448</v>
      </c>
      <c r="C127" s="5">
        <v>36.810837627439419</v>
      </c>
      <c r="D127" s="4">
        <v>2.1375066398789611</v>
      </c>
      <c r="E127" s="2">
        <f t="shared" si="0"/>
        <v>9.2027094068598547</v>
      </c>
      <c r="F127" s="2">
        <f t="shared" si="1"/>
        <v>53.437665996974026</v>
      </c>
      <c r="G127" s="2">
        <f t="shared" si="2"/>
        <v>44.234956590114173</v>
      </c>
      <c r="H127" s="2">
        <f t="shared" si="3"/>
        <v>62.640375403833879</v>
      </c>
      <c r="I127" s="1">
        <v>1</v>
      </c>
    </row>
    <row r="128" spans="1:9" ht="14.25" customHeight="1" x14ac:dyDescent="0.35">
      <c r="A128" s="1">
        <v>336</v>
      </c>
      <c r="B128" s="4">
        <v>7.6596669062089831</v>
      </c>
      <c r="C128" s="5">
        <v>3.9160762139717531</v>
      </c>
      <c r="D128" s="4">
        <v>0.63979386474012179</v>
      </c>
      <c r="E128" s="2">
        <f t="shared" si="0"/>
        <v>0.97901905349293827</v>
      </c>
      <c r="F128" s="2">
        <f t="shared" si="1"/>
        <v>15.994846618503045</v>
      </c>
      <c r="G128" s="2">
        <f t="shared" si="2"/>
        <v>15.015827565010106</v>
      </c>
      <c r="H128" s="2">
        <f t="shared" si="3"/>
        <v>16.973865671995984</v>
      </c>
      <c r="I128" s="1">
        <v>0</v>
      </c>
    </row>
    <row r="129" spans="1:9" ht="14.25" customHeight="1" x14ac:dyDescent="0.35">
      <c r="A129" s="1">
        <v>337</v>
      </c>
      <c r="B129" s="4">
        <v>3.0287516653143696</v>
      </c>
      <c r="C129" s="5">
        <v>50.921399039823434</v>
      </c>
      <c r="D129" s="4">
        <v>1.7223610485181227</v>
      </c>
      <c r="E129" s="2">
        <f t="shared" si="0"/>
        <v>12.730349759955859</v>
      </c>
      <c r="F129" s="2">
        <f t="shared" si="1"/>
        <v>43.059026212953064</v>
      </c>
      <c r="G129" s="2">
        <f t="shared" si="2"/>
        <v>30.328676452997207</v>
      </c>
      <c r="H129" s="2">
        <f t="shared" si="3"/>
        <v>55.789375972908921</v>
      </c>
      <c r="I129" s="1">
        <v>0</v>
      </c>
    </row>
    <row r="130" spans="1:9" ht="14.25" customHeight="1" x14ac:dyDescent="0.35">
      <c r="A130" s="1">
        <v>341</v>
      </c>
      <c r="B130" s="4">
        <v>9.2937775533492317</v>
      </c>
      <c r="C130" s="5">
        <v>55.243463507221854</v>
      </c>
      <c r="D130" s="4">
        <v>3.2323925522587835</v>
      </c>
      <c r="E130" s="2">
        <f t="shared" si="0"/>
        <v>13.810865876805464</v>
      </c>
      <c r="F130" s="2">
        <f t="shared" si="1"/>
        <v>80.809813806469592</v>
      </c>
      <c r="G130" s="2">
        <f t="shared" si="2"/>
        <v>66.998947929664126</v>
      </c>
      <c r="H130" s="2">
        <f t="shared" si="3"/>
        <v>94.620679683275057</v>
      </c>
      <c r="I130" s="1">
        <v>0</v>
      </c>
    </row>
    <row r="131" spans="1:9" ht="14.25" customHeight="1" x14ac:dyDescent="0.35">
      <c r="A131" s="1">
        <v>343</v>
      </c>
      <c r="B131" s="4">
        <v>9.9498099592155818</v>
      </c>
      <c r="C131" s="5">
        <v>62.51765045226999</v>
      </c>
      <c r="D131" s="4">
        <v>3.1480015347014954</v>
      </c>
      <c r="E131" s="2">
        <f t="shared" si="0"/>
        <v>15.629412613067498</v>
      </c>
      <c r="F131" s="2">
        <f t="shared" si="1"/>
        <v>78.700038367537388</v>
      </c>
      <c r="G131" s="2">
        <f t="shared" si="2"/>
        <v>63.070625754469887</v>
      </c>
      <c r="H131" s="2">
        <f t="shared" si="3"/>
        <v>94.329450980604889</v>
      </c>
      <c r="I131" s="1">
        <v>0</v>
      </c>
    </row>
    <row r="132" spans="1:9" ht="14.25" customHeight="1" x14ac:dyDescent="0.35">
      <c r="A132" s="1">
        <v>344</v>
      </c>
      <c r="B132" s="4">
        <v>1.4409555797462914</v>
      </c>
      <c r="C132" s="5">
        <v>51.826452812467558</v>
      </c>
      <c r="D132" s="4">
        <v>0.656559191745685</v>
      </c>
      <c r="E132" s="2">
        <f t="shared" si="0"/>
        <v>12.956613203116889</v>
      </c>
      <c r="F132" s="2">
        <f t="shared" si="1"/>
        <v>16.413979793642124</v>
      </c>
      <c r="G132" s="2">
        <f t="shared" si="2"/>
        <v>3.4573665905252344</v>
      </c>
      <c r="H132" s="2">
        <f t="shared" si="3"/>
        <v>29.370592996759015</v>
      </c>
      <c r="I132" s="1">
        <v>0</v>
      </c>
    </row>
    <row r="133" spans="1:9" ht="14.25" customHeight="1" x14ac:dyDescent="0.35">
      <c r="A133" s="1">
        <v>349</v>
      </c>
      <c r="B133" s="4">
        <v>3.7569017588142719</v>
      </c>
      <c r="C133" s="5">
        <v>53.684848364089433</v>
      </c>
      <c r="D133" s="4">
        <v>2.0595506798755885</v>
      </c>
      <c r="E133" s="2">
        <f t="shared" si="0"/>
        <v>13.421212091022358</v>
      </c>
      <c r="F133" s="2">
        <f t="shared" si="1"/>
        <v>51.488766996889709</v>
      </c>
      <c r="G133" s="2">
        <f t="shared" si="2"/>
        <v>38.067554905867354</v>
      </c>
      <c r="H133" s="2">
        <f t="shared" si="3"/>
        <v>64.909979087912063</v>
      </c>
      <c r="I133" s="1">
        <v>0</v>
      </c>
    </row>
    <row r="134" spans="1:9" ht="14.25" customHeight="1" x14ac:dyDescent="0.35">
      <c r="A134" s="1">
        <v>350</v>
      </c>
      <c r="B134" s="4">
        <v>0.56416783163394379</v>
      </c>
      <c r="C134" s="5">
        <v>64.573079635478294</v>
      </c>
      <c r="D134" s="4">
        <v>2.3929696504186952</v>
      </c>
      <c r="E134" s="2">
        <f t="shared" si="0"/>
        <v>16.143269908869573</v>
      </c>
      <c r="F134" s="2">
        <f t="shared" si="1"/>
        <v>59.824241260467382</v>
      </c>
      <c r="G134" s="2">
        <f t="shared" si="2"/>
        <v>43.680971351597805</v>
      </c>
      <c r="H134" s="2">
        <f t="shared" si="3"/>
        <v>75.967511169336959</v>
      </c>
      <c r="I134" s="1">
        <v>1</v>
      </c>
    </row>
    <row r="135" spans="1:9" ht="14.25" customHeight="1" x14ac:dyDescent="0.35">
      <c r="A135" s="1">
        <v>351</v>
      </c>
      <c r="B135" s="4">
        <v>4.1220954974993038</v>
      </c>
      <c r="C135" s="5">
        <v>69.265305667851678</v>
      </c>
      <c r="D135" s="4">
        <v>2.0491454522982719</v>
      </c>
      <c r="E135" s="2">
        <f t="shared" si="0"/>
        <v>17.316326416962919</v>
      </c>
      <c r="F135" s="2">
        <f t="shared" si="1"/>
        <v>51.228636307456796</v>
      </c>
      <c r="G135" s="2">
        <f t="shared" si="2"/>
        <v>33.912309890493873</v>
      </c>
      <c r="H135" s="2">
        <f t="shared" si="3"/>
        <v>68.544962724419719</v>
      </c>
      <c r="I135" s="1">
        <v>0</v>
      </c>
    </row>
    <row r="136" spans="1:9" ht="14.25" customHeight="1" x14ac:dyDescent="0.35">
      <c r="A136" s="1">
        <v>354</v>
      </c>
      <c r="B136" s="4">
        <v>3.7350968175536381</v>
      </c>
      <c r="C136" s="5">
        <v>33.933607047455794</v>
      </c>
      <c r="D136" s="4">
        <v>2.1386787954777438</v>
      </c>
      <c r="E136" s="2">
        <f t="shared" si="0"/>
        <v>8.4834017618639486</v>
      </c>
      <c r="F136" s="2">
        <f t="shared" si="1"/>
        <v>53.466969886943595</v>
      </c>
      <c r="G136" s="2">
        <f t="shared" si="2"/>
        <v>44.983568125079643</v>
      </c>
      <c r="H136" s="2">
        <f t="shared" si="3"/>
        <v>61.950371648807547</v>
      </c>
      <c r="I136" s="1">
        <v>1</v>
      </c>
    </row>
    <row r="137" spans="1:9" ht="14.25" customHeight="1" x14ac:dyDescent="0.35">
      <c r="A137" s="1">
        <v>356</v>
      </c>
      <c r="B137" s="4">
        <v>8.5187015079434971</v>
      </c>
      <c r="C137" s="5">
        <v>20.900864679576038</v>
      </c>
      <c r="D137" s="4">
        <v>3.1827037614280886</v>
      </c>
      <c r="E137" s="2">
        <f t="shared" si="0"/>
        <v>5.2252161698940096</v>
      </c>
      <c r="F137" s="2">
        <f t="shared" si="1"/>
        <v>79.567594035702214</v>
      </c>
      <c r="G137" s="2">
        <f t="shared" si="2"/>
        <v>74.342377865808203</v>
      </c>
      <c r="H137" s="2">
        <f t="shared" si="3"/>
        <v>84.792810205596226</v>
      </c>
      <c r="I137" s="1">
        <v>0</v>
      </c>
    </row>
    <row r="138" spans="1:9" ht="14.25" customHeight="1" x14ac:dyDescent="0.35">
      <c r="A138" s="1">
        <v>357</v>
      </c>
      <c r="B138" s="4">
        <v>1.9687143421605768</v>
      </c>
      <c r="C138" s="5">
        <v>40.659911436870388</v>
      </c>
      <c r="D138" s="4">
        <v>1.5635688230731506</v>
      </c>
      <c r="E138" s="2">
        <f t="shared" si="0"/>
        <v>10.164977859217597</v>
      </c>
      <c r="F138" s="2">
        <f t="shared" si="1"/>
        <v>39.089220576828765</v>
      </c>
      <c r="G138" s="2">
        <f t="shared" si="2"/>
        <v>28.924242717611168</v>
      </c>
      <c r="H138" s="2">
        <f t="shared" si="3"/>
        <v>49.254198436046366</v>
      </c>
      <c r="I138" s="1">
        <v>1</v>
      </c>
    </row>
    <row r="139" spans="1:9" ht="14.25" customHeight="1" x14ac:dyDescent="0.35">
      <c r="A139" s="1">
        <v>359</v>
      </c>
      <c r="B139" s="4">
        <v>1.7982803515712631</v>
      </c>
      <c r="C139" s="5">
        <v>39.244018468079979</v>
      </c>
      <c r="D139" s="4">
        <v>0.91531957842064871</v>
      </c>
      <c r="E139" s="2">
        <f t="shared" si="0"/>
        <v>9.8110046170199947</v>
      </c>
      <c r="F139" s="2">
        <f t="shared" si="1"/>
        <v>22.882989460516217</v>
      </c>
      <c r="G139" s="2">
        <f t="shared" si="2"/>
        <v>13.071984843496223</v>
      </c>
      <c r="H139" s="2">
        <f t="shared" si="3"/>
        <v>32.69399407753621</v>
      </c>
      <c r="I139" s="1">
        <v>0</v>
      </c>
    </row>
    <row r="140" spans="1:9" ht="14.25" customHeight="1" x14ac:dyDescent="0.35">
      <c r="A140" s="1">
        <v>361</v>
      </c>
      <c r="B140" s="4">
        <v>2.2948480039529837</v>
      </c>
      <c r="C140" s="5">
        <v>59.614503273278544</v>
      </c>
      <c r="D140" s="4">
        <v>1.7420864405664629</v>
      </c>
      <c r="E140" s="2">
        <f t="shared" si="0"/>
        <v>14.903625818319636</v>
      </c>
      <c r="F140" s="2">
        <f t="shared" si="1"/>
        <v>43.55216101416157</v>
      </c>
      <c r="G140" s="2">
        <f t="shared" si="2"/>
        <v>28.648535195841934</v>
      </c>
      <c r="H140" s="2">
        <f t="shared" si="3"/>
        <v>58.455786832481209</v>
      </c>
      <c r="I140" s="1">
        <v>1</v>
      </c>
    </row>
    <row r="141" spans="1:9" ht="14.25" customHeight="1" x14ac:dyDescent="0.35">
      <c r="A141" s="1">
        <v>363</v>
      </c>
      <c r="B141" s="4">
        <v>5.7235684506015163</v>
      </c>
      <c r="C141" s="5">
        <v>6.0982912697297165</v>
      </c>
      <c r="D141" s="4">
        <v>1.1986349997228909</v>
      </c>
      <c r="E141" s="2">
        <f t="shared" si="0"/>
        <v>1.5245728174324291</v>
      </c>
      <c r="F141" s="2">
        <f t="shared" si="1"/>
        <v>29.965874993072273</v>
      </c>
      <c r="G141" s="2">
        <f t="shared" si="2"/>
        <v>28.441302175639844</v>
      </c>
      <c r="H141" s="2">
        <f t="shared" si="3"/>
        <v>31.490447810504701</v>
      </c>
      <c r="I141" s="1">
        <v>0</v>
      </c>
    </row>
    <row r="142" spans="1:9" ht="14.25" customHeight="1" x14ac:dyDescent="0.35">
      <c r="A142" s="1">
        <v>369</v>
      </c>
      <c r="B142" s="4">
        <v>0.77954630192057506</v>
      </c>
      <c r="C142" s="5">
        <v>98.923876546700512</v>
      </c>
      <c r="D142" s="4">
        <v>1.0344286700388112</v>
      </c>
      <c r="E142" s="2">
        <f t="shared" si="0"/>
        <v>24.730969136675128</v>
      </c>
      <c r="F142" s="2">
        <f t="shared" si="1"/>
        <v>25.86071675097028</v>
      </c>
      <c r="G142" s="2">
        <f t="shared" si="2"/>
        <v>1.1297476142951517</v>
      </c>
      <c r="H142" s="2">
        <f t="shared" si="3"/>
        <v>50.591685887645411</v>
      </c>
      <c r="I142" s="1">
        <v>0</v>
      </c>
    </row>
    <row r="143" spans="1:9" ht="14.25" customHeight="1" x14ac:dyDescent="0.35">
      <c r="A143" s="1">
        <v>375</v>
      </c>
      <c r="B143" s="4">
        <v>0.89918657385703482</v>
      </c>
      <c r="C143" s="5">
        <v>39.624427424614318</v>
      </c>
      <c r="D143" s="4">
        <v>0.40697478420635397</v>
      </c>
      <c r="E143" s="2">
        <f t="shared" si="0"/>
        <v>9.9061068561535794</v>
      </c>
      <c r="F143" s="2">
        <f t="shared" si="1"/>
        <v>10.17436960515885</v>
      </c>
      <c r="G143" s="2">
        <f t="shared" si="2"/>
        <v>0.26826274900527025</v>
      </c>
      <c r="H143" s="2">
        <f t="shared" si="3"/>
        <v>20.080476461312429</v>
      </c>
      <c r="I143" s="1">
        <v>0</v>
      </c>
    </row>
    <row r="144" spans="1:9" ht="14.25" customHeight="1" x14ac:dyDescent="0.35">
      <c r="A144" s="1">
        <v>376</v>
      </c>
      <c r="B144" s="4">
        <v>4.1996041412701492</v>
      </c>
      <c r="C144" s="5">
        <v>29.554887407468321</v>
      </c>
      <c r="D144" s="4">
        <v>2.3762487805115771</v>
      </c>
      <c r="E144" s="2">
        <f t="shared" si="0"/>
        <v>7.3887218518670803</v>
      </c>
      <c r="F144" s="2">
        <f t="shared" si="1"/>
        <v>59.406219512789427</v>
      </c>
      <c r="G144" s="2">
        <f t="shared" si="2"/>
        <v>52.017497660922345</v>
      </c>
      <c r="H144" s="2">
        <f t="shared" si="3"/>
        <v>66.794941364656509</v>
      </c>
      <c r="I144" s="1">
        <v>1</v>
      </c>
    </row>
    <row r="145" spans="1:9" ht="14.25" customHeight="1" x14ac:dyDescent="0.35">
      <c r="A145" s="1">
        <v>377</v>
      </c>
      <c r="B145" s="4">
        <v>2.8519157528359718</v>
      </c>
      <c r="C145" s="5">
        <v>48.290938191724244</v>
      </c>
      <c r="D145" s="4">
        <v>3.2365742267164799</v>
      </c>
      <c r="E145" s="2">
        <f t="shared" si="0"/>
        <v>12.072734547931061</v>
      </c>
      <c r="F145" s="2">
        <f t="shared" si="1"/>
        <v>80.914355667911991</v>
      </c>
      <c r="G145" s="2">
        <f t="shared" si="2"/>
        <v>68.841621119980928</v>
      </c>
      <c r="H145" s="2">
        <f t="shared" si="3"/>
        <v>92.987090215843054</v>
      </c>
      <c r="I145" s="1">
        <v>1</v>
      </c>
    </row>
    <row r="146" spans="1:9" ht="14.25" customHeight="1" x14ac:dyDescent="0.35">
      <c r="A146" s="1">
        <v>383</v>
      </c>
      <c r="B146" s="4">
        <v>2.8777593324401196</v>
      </c>
      <c r="C146" s="5">
        <v>10.359098298260417</v>
      </c>
      <c r="D146" s="4">
        <v>2.406073449038022</v>
      </c>
      <c r="E146" s="2">
        <f t="shared" si="0"/>
        <v>2.5897745745651042</v>
      </c>
      <c r="F146" s="2">
        <f t="shared" si="1"/>
        <v>60.151836225950547</v>
      </c>
      <c r="G146" s="2">
        <f t="shared" si="2"/>
        <v>57.562061651385442</v>
      </c>
      <c r="H146" s="2">
        <f t="shared" si="3"/>
        <v>62.741610800515652</v>
      </c>
      <c r="I146" s="1">
        <v>1</v>
      </c>
    </row>
    <row r="147" spans="1:9" ht="14.25" customHeight="1" x14ac:dyDescent="0.35">
      <c r="A147" s="1">
        <v>384</v>
      </c>
      <c r="B147" s="4">
        <v>8.035151438118433</v>
      </c>
      <c r="C147" s="5">
        <v>7.6335889288701058</v>
      </c>
      <c r="D147" s="4">
        <v>1.6787814738012135</v>
      </c>
      <c r="E147" s="2">
        <f t="shared" si="0"/>
        <v>1.9083972322175264</v>
      </c>
      <c r="F147" s="2">
        <f t="shared" si="1"/>
        <v>41.969536845030333</v>
      </c>
      <c r="G147" s="2">
        <f t="shared" si="2"/>
        <v>40.061139612812809</v>
      </c>
      <c r="H147" s="2">
        <f t="shared" si="3"/>
        <v>43.877934077247858</v>
      </c>
      <c r="I147" s="1">
        <v>0</v>
      </c>
    </row>
    <row r="148" spans="1:9" ht="14.25" customHeight="1" x14ac:dyDescent="0.35">
      <c r="A148" s="1">
        <v>386</v>
      </c>
      <c r="B148" s="4">
        <v>6.6649267657293212</v>
      </c>
      <c r="C148" s="5">
        <v>1.5840628620161334</v>
      </c>
      <c r="D148" s="4">
        <v>0.55816895182779591</v>
      </c>
      <c r="E148" s="2">
        <f t="shared" si="0"/>
        <v>0.39601571550403336</v>
      </c>
      <c r="F148" s="2">
        <f t="shared" si="1"/>
        <v>13.954223795694897</v>
      </c>
      <c r="G148" s="2">
        <f t="shared" si="2"/>
        <v>13.558208080190864</v>
      </c>
      <c r="H148" s="2">
        <f t="shared" si="3"/>
        <v>14.35023951119893</v>
      </c>
      <c r="I148" s="1">
        <v>0</v>
      </c>
    </row>
    <row r="149" spans="1:9" ht="14.25" customHeight="1" x14ac:dyDescent="0.35">
      <c r="A149" s="1">
        <v>387</v>
      </c>
      <c r="B149" s="4">
        <v>3.2750028386886876</v>
      </c>
      <c r="C149" s="5">
        <v>36.826065290398482</v>
      </c>
      <c r="D149" s="4">
        <v>0.54414757171076356</v>
      </c>
      <c r="E149" s="2">
        <f t="shared" si="0"/>
        <v>9.2065163225996205</v>
      </c>
      <c r="F149" s="2">
        <f t="shared" si="1"/>
        <v>13.603689292769088</v>
      </c>
      <c r="G149" s="2">
        <f t="shared" si="2"/>
        <v>4.3971729701694677</v>
      </c>
      <c r="H149" s="2">
        <f t="shared" si="3"/>
        <v>22.810205615368709</v>
      </c>
      <c r="I149" s="1">
        <v>0</v>
      </c>
    </row>
    <row r="150" spans="1:9" ht="14.25" customHeight="1" x14ac:dyDescent="0.35">
      <c r="A150" s="1">
        <v>388</v>
      </c>
      <c r="B150" s="4">
        <v>2.2519792294119734</v>
      </c>
      <c r="C150" s="5">
        <v>45.332883004994272</v>
      </c>
      <c r="D150" s="4">
        <v>2.4021873487472218</v>
      </c>
      <c r="E150" s="2">
        <f t="shared" si="0"/>
        <v>11.333220751248568</v>
      </c>
      <c r="F150" s="2">
        <f t="shared" si="1"/>
        <v>60.054683718680543</v>
      </c>
      <c r="G150" s="2">
        <f t="shared" si="2"/>
        <v>48.721462967431975</v>
      </c>
      <c r="H150" s="2">
        <f t="shared" si="3"/>
        <v>71.387904469929111</v>
      </c>
      <c r="I150" s="1">
        <v>1</v>
      </c>
    </row>
    <row r="151" spans="1:9" ht="14.25" customHeight="1" x14ac:dyDescent="0.35">
      <c r="A151" s="1">
        <v>390</v>
      </c>
      <c r="B151" s="4">
        <v>4.7303052822952889</v>
      </c>
      <c r="C151" s="5">
        <v>14.425084627125706</v>
      </c>
      <c r="D151" s="4">
        <v>2.5764676632300247</v>
      </c>
      <c r="E151" s="2">
        <f t="shared" si="0"/>
        <v>3.6062711567814265</v>
      </c>
      <c r="F151" s="2">
        <f t="shared" si="1"/>
        <v>64.411691580750613</v>
      </c>
      <c r="G151" s="2">
        <f t="shared" si="2"/>
        <v>60.805420423969188</v>
      </c>
      <c r="H151" s="2">
        <f t="shared" si="3"/>
        <v>68.017962737532045</v>
      </c>
      <c r="I151" s="1">
        <v>1</v>
      </c>
    </row>
    <row r="152" spans="1:9" ht="14.25" customHeight="1" x14ac:dyDescent="0.35">
      <c r="A152" s="1">
        <v>401</v>
      </c>
      <c r="B152" s="4">
        <v>1.393934377638294</v>
      </c>
      <c r="C152" s="5">
        <v>14.510763792571202</v>
      </c>
      <c r="D152" s="4">
        <v>2.8000267832792849</v>
      </c>
      <c r="E152" s="2">
        <f t="shared" si="0"/>
        <v>3.6276909481428006</v>
      </c>
      <c r="F152" s="2">
        <f t="shared" si="1"/>
        <v>70.000669581982123</v>
      </c>
      <c r="G152" s="2">
        <f t="shared" si="2"/>
        <v>66.372978633839324</v>
      </c>
      <c r="H152" s="2">
        <f t="shared" si="3"/>
        <v>73.628360530124922</v>
      </c>
      <c r="I152" s="1">
        <v>1</v>
      </c>
    </row>
    <row r="153" spans="1:9" ht="14.25" customHeight="1" x14ac:dyDescent="0.35">
      <c r="A153" s="1">
        <v>406</v>
      </c>
      <c r="B153" s="4">
        <v>4.1751882056325158</v>
      </c>
      <c r="C153" s="5">
        <v>3.9039655754233515</v>
      </c>
      <c r="D153" s="4">
        <v>1.9765862426740932</v>
      </c>
      <c r="E153" s="2">
        <f t="shared" si="0"/>
        <v>0.97599139385583789</v>
      </c>
      <c r="F153" s="2">
        <f t="shared" si="1"/>
        <v>49.414656066852331</v>
      </c>
      <c r="G153" s="2">
        <f t="shared" si="2"/>
        <v>48.438664672996495</v>
      </c>
      <c r="H153" s="2">
        <f t="shared" si="3"/>
        <v>50.390647460708166</v>
      </c>
      <c r="I153" s="1">
        <v>1</v>
      </c>
    </row>
    <row r="154" spans="1:9" ht="14.25" customHeight="1" x14ac:dyDescent="0.35">
      <c r="A154" s="1">
        <v>408</v>
      </c>
      <c r="B154" s="4">
        <v>3.1328311926868349</v>
      </c>
      <c r="C154" s="5">
        <v>50.531042893314527</v>
      </c>
      <c r="D154" s="4">
        <v>1.445820181648275</v>
      </c>
      <c r="E154" s="2">
        <f t="shared" si="0"/>
        <v>12.632760723328632</v>
      </c>
      <c r="F154" s="2">
        <f t="shared" si="1"/>
        <v>36.145504541206876</v>
      </c>
      <c r="G154" s="2">
        <f t="shared" si="2"/>
        <v>23.512743817878246</v>
      </c>
      <c r="H154" s="2">
        <f t="shared" si="3"/>
        <v>48.778265264535506</v>
      </c>
      <c r="I154" s="1">
        <v>0</v>
      </c>
    </row>
    <row r="155" spans="1:9" ht="14.25" customHeight="1" x14ac:dyDescent="0.35">
      <c r="A155" s="1">
        <v>413</v>
      </c>
      <c r="B155" s="4">
        <v>2.0456453937408234</v>
      </c>
      <c r="C155" s="5">
        <v>42.783899241779054</v>
      </c>
      <c r="D155" s="4">
        <v>1.3577955705248188</v>
      </c>
      <c r="E155" s="2">
        <f t="shared" si="0"/>
        <v>10.695974810444763</v>
      </c>
      <c r="F155" s="2">
        <f t="shared" si="1"/>
        <v>33.944889263120473</v>
      </c>
      <c r="G155" s="2">
        <f t="shared" si="2"/>
        <v>23.248914452675709</v>
      </c>
      <c r="H155" s="2">
        <f t="shared" si="3"/>
        <v>44.64086407356524</v>
      </c>
      <c r="I155" s="1">
        <v>1</v>
      </c>
    </row>
    <row r="156" spans="1:9" ht="14.25" customHeight="1" x14ac:dyDescent="0.35">
      <c r="A156" s="1">
        <v>415</v>
      </c>
      <c r="B156" s="4">
        <v>0.70067273284080134</v>
      </c>
      <c r="C156" s="5">
        <v>95.353208893257985</v>
      </c>
      <c r="D156" s="4">
        <v>1.0568472590055649</v>
      </c>
      <c r="E156" s="2">
        <f t="shared" si="0"/>
        <v>23.838302223314496</v>
      </c>
      <c r="F156" s="2">
        <f t="shared" si="1"/>
        <v>26.421181475139122</v>
      </c>
      <c r="G156" s="2">
        <f t="shared" si="2"/>
        <v>2.5828792518246253</v>
      </c>
      <c r="H156" s="2">
        <f t="shared" si="3"/>
        <v>50.259483698453622</v>
      </c>
      <c r="I156" s="1">
        <v>0</v>
      </c>
    </row>
    <row r="157" spans="1:9" ht="14.25" customHeight="1" x14ac:dyDescent="0.35">
      <c r="A157" s="1">
        <v>416</v>
      </c>
      <c r="B157" s="4">
        <v>5.6878046898335022</v>
      </c>
      <c r="C157" s="5">
        <v>3.0848927959091998</v>
      </c>
      <c r="D157" s="4">
        <v>1.7300833981456418</v>
      </c>
      <c r="E157" s="2">
        <f t="shared" si="0"/>
        <v>0.77122319897729996</v>
      </c>
      <c r="F157" s="2">
        <f t="shared" si="1"/>
        <v>43.252084953641045</v>
      </c>
      <c r="G157" s="2">
        <f t="shared" si="2"/>
        <v>42.480861754663742</v>
      </c>
      <c r="H157" s="2">
        <f t="shared" si="3"/>
        <v>44.023308152618348</v>
      </c>
      <c r="I157" s="1">
        <v>0</v>
      </c>
    </row>
    <row r="158" spans="1:9" ht="14.25" customHeight="1" x14ac:dyDescent="0.35">
      <c r="A158" s="1">
        <v>417</v>
      </c>
      <c r="B158" s="4">
        <v>2.5451494406359032</v>
      </c>
      <c r="C158" s="5">
        <v>82.205010121632455</v>
      </c>
      <c r="D158" s="4">
        <v>1.360162703625075</v>
      </c>
      <c r="E158" s="2">
        <f t="shared" si="0"/>
        <v>20.551252530408114</v>
      </c>
      <c r="F158" s="2">
        <f t="shared" si="1"/>
        <v>34.004067590626875</v>
      </c>
      <c r="G158" s="2">
        <f t="shared" si="2"/>
        <v>13.452815060218761</v>
      </c>
      <c r="H158" s="2">
        <f t="shared" si="3"/>
        <v>54.555320121034988</v>
      </c>
      <c r="I158" s="1">
        <v>0</v>
      </c>
    </row>
    <row r="159" spans="1:9" ht="14.25" customHeight="1" x14ac:dyDescent="0.35">
      <c r="A159" s="1">
        <v>418</v>
      </c>
      <c r="B159" s="4">
        <v>1.1510867564782989</v>
      </c>
      <c r="C159" s="5">
        <v>82.614360829755327</v>
      </c>
      <c r="D159" s="4">
        <v>0.98282399338864335</v>
      </c>
      <c r="E159" s="2">
        <f t="shared" si="0"/>
        <v>20.653590207438832</v>
      </c>
      <c r="F159" s="2">
        <f t="shared" si="1"/>
        <v>24.570599834716084</v>
      </c>
      <c r="G159" s="2">
        <f t="shared" si="2"/>
        <v>3.9170096272772525</v>
      </c>
      <c r="H159" s="2">
        <f t="shared" si="3"/>
        <v>45.224190042154916</v>
      </c>
      <c r="I159" s="1">
        <v>0</v>
      </c>
    </row>
    <row r="160" spans="1:9" ht="14.25" customHeight="1" x14ac:dyDescent="0.35">
      <c r="A160" s="1">
        <v>423</v>
      </c>
      <c r="B160" s="4">
        <v>1.393934377638294</v>
      </c>
      <c r="C160" s="5">
        <v>1.2335276551146634</v>
      </c>
      <c r="D160" s="4">
        <v>3.2110051583354786</v>
      </c>
      <c r="E160" s="2">
        <f t="shared" si="0"/>
        <v>0.30838191377866586</v>
      </c>
      <c r="F160" s="2">
        <f t="shared" si="1"/>
        <v>80.275128958386972</v>
      </c>
      <c r="G160" s="2">
        <f t="shared" si="2"/>
        <v>79.966747044608312</v>
      </c>
      <c r="H160" s="2">
        <f t="shared" si="3"/>
        <v>80.583510872165633</v>
      </c>
      <c r="I160" s="1">
        <v>1</v>
      </c>
    </row>
    <row r="161" spans="1:9" ht="14.25" customHeight="1" x14ac:dyDescent="0.35">
      <c r="A161" s="1">
        <v>424</v>
      </c>
      <c r="B161" s="4">
        <v>3.3462930271354443</v>
      </c>
      <c r="C161" s="5">
        <v>59.526186635962851</v>
      </c>
      <c r="D161" s="4">
        <v>0.85829262055055877</v>
      </c>
      <c r="E161" s="2">
        <f t="shared" si="0"/>
        <v>14.881546658990713</v>
      </c>
      <c r="F161" s="2">
        <f t="shared" si="1"/>
        <v>21.45731551376397</v>
      </c>
      <c r="G161" s="2">
        <f t="shared" si="2"/>
        <v>6.5757688547732567</v>
      </c>
      <c r="H161" s="2">
        <f t="shared" si="3"/>
        <v>36.338862172754681</v>
      </c>
      <c r="I161" s="1">
        <v>0</v>
      </c>
    </row>
    <row r="162" spans="1:9" ht="14.25" customHeight="1" x14ac:dyDescent="0.35">
      <c r="A162" s="1">
        <v>427</v>
      </c>
      <c r="B162" s="4">
        <v>1.6019813705055252</v>
      </c>
      <c r="C162" s="5">
        <v>47.266987872917873</v>
      </c>
      <c r="D162" s="4">
        <v>0.36150181534404291</v>
      </c>
      <c r="E162" s="2">
        <f t="shared" si="0"/>
        <v>11.816746968229468</v>
      </c>
      <c r="F162" s="2">
        <f t="shared" si="1"/>
        <v>9.0375453836010724</v>
      </c>
      <c r="G162" s="2">
        <f t="shared" si="2"/>
        <v>-2.7792015846283959</v>
      </c>
      <c r="H162" s="2">
        <f t="shared" si="3"/>
        <v>20.854292351830541</v>
      </c>
      <c r="I162" s="1">
        <v>0</v>
      </c>
    </row>
    <row r="163" spans="1:9" ht="14.25" customHeight="1" x14ac:dyDescent="0.35">
      <c r="A163" s="1">
        <v>431</v>
      </c>
      <c r="B163" s="4">
        <v>8.9647730460119526</v>
      </c>
      <c r="C163" s="5">
        <v>8.0102939251496146</v>
      </c>
      <c r="D163" s="4">
        <v>1.1192198458945315</v>
      </c>
      <c r="E163" s="2">
        <f t="shared" si="0"/>
        <v>2.0025734812874036</v>
      </c>
      <c r="F163" s="2">
        <f t="shared" si="1"/>
        <v>27.980496147363286</v>
      </c>
      <c r="G163" s="2">
        <f t="shared" si="2"/>
        <v>25.977922666075884</v>
      </c>
      <c r="H163" s="2">
        <f t="shared" si="3"/>
        <v>29.983069628650689</v>
      </c>
      <c r="I163" s="1">
        <v>0</v>
      </c>
    </row>
    <row r="164" spans="1:9" ht="14.25" customHeight="1" x14ac:dyDescent="0.35">
      <c r="A164" s="1">
        <v>437</v>
      </c>
      <c r="B164" s="4">
        <v>2.7344924567040052</v>
      </c>
      <c r="C164" s="5">
        <v>51.064056911758861</v>
      </c>
      <c r="D164" s="4">
        <v>2.9999414682567993</v>
      </c>
      <c r="E164" s="2">
        <f t="shared" si="0"/>
        <v>12.766014227939715</v>
      </c>
      <c r="F164" s="2">
        <f t="shared" si="1"/>
        <v>74.998536706419983</v>
      </c>
      <c r="G164" s="2">
        <f t="shared" si="2"/>
        <v>62.23252247848027</v>
      </c>
      <c r="H164" s="2">
        <f t="shared" si="3"/>
        <v>87.764550934359704</v>
      </c>
      <c r="I164" s="1">
        <v>1</v>
      </c>
    </row>
    <row r="165" spans="1:9" ht="14.25" customHeight="1" x14ac:dyDescent="0.35">
      <c r="A165" s="1">
        <v>441</v>
      </c>
      <c r="B165" s="4">
        <v>9.6380365224874538</v>
      </c>
      <c r="C165" s="5">
        <v>4.7434515841039744</v>
      </c>
      <c r="D165" s="4">
        <v>1.1678727362738721</v>
      </c>
      <c r="E165" s="2">
        <f t="shared" si="0"/>
        <v>1.1858628960259936</v>
      </c>
      <c r="F165" s="2">
        <f t="shared" si="1"/>
        <v>29.196818406846802</v>
      </c>
      <c r="G165" s="2">
        <f t="shared" si="2"/>
        <v>28.010955510820807</v>
      </c>
      <c r="H165" s="2">
        <f t="shared" si="3"/>
        <v>30.382681302872797</v>
      </c>
      <c r="I165" s="1">
        <v>0</v>
      </c>
    </row>
    <row r="166" spans="1:9" ht="14.25" customHeight="1" x14ac:dyDescent="0.35">
      <c r="A166" s="1">
        <v>442</v>
      </c>
      <c r="B166" s="4">
        <v>6.8237014421710338</v>
      </c>
      <c r="C166" s="5">
        <v>26.987874219060771</v>
      </c>
      <c r="D166" s="4">
        <v>2.9262458882152407</v>
      </c>
      <c r="E166" s="2">
        <f t="shared" si="0"/>
        <v>6.7469685547651927</v>
      </c>
      <c r="F166" s="2">
        <f t="shared" si="1"/>
        <v>73.156147205381018</v>
      </c>
      <c r="G166" s="2">
        <f t="shared" si="2"/>
        <v>66.409178650615829</v>
      </c>
      <c r="H166" s="2">
        <f t="shared" si="3"/>
        <v>79.903115760146207</v>
      </c>
      <c r="I166" s="1">
        <v>0</v>
      </c>
    </row>
    <row r="167" spans="1:9" ht="14.25" customHeight="1" x14ac:dyDescent="0.35">
      <c r="A167" s="1">
        <v>443</v>
      </c>
      <c r="B167" s="4">
        <v>3.1097485430567051</v>
      </c>
      <c r="C167" s="5">
        <v>83.767907589946688</v>
      </c>
      <c r="D167" s="4">
        <v>1.3413836926218059</v>
      </c>
      <c r="E167" s="2">
        <f t="shared" si="0"/>
        <v>20.941976897486672</v>
      </c>
      <c r="F167" s="2">
        <f t="shared" si="1"/>
        <v>33.534592315545147</v>
      </c>
      <c r="G167" s="2">
        <f t="shared" si="2"/>
        <v>12.592615418058475</v>
      </c>
      <c r="H167" s="2">
        <f t="shared" si="3"/>
        <v>54.476569213031823</v>
      </c>
      <c r="I167" s="1">
        <v>0</v>
      </c>
    </row>
    <row r="168" spans="1:9" ht="14.25" customHeight="1" x14ac:dyDescent="0.35">
      <c r="A168" s="1">
        <v>445</v>
      </c>
      <c r="B168" s="4">
        <v>1.3048074469911486</v>
      </c>
      <c r="C168" s="5">
        <v>57.065490961730212</v>
      </c>
      <c r="D168" s="4">
        <v>1.0151076385329041</v>
      </c>
      <c r="E168" s="2">
        <f t="shared" si="0"/>
        <v>14.266372740432553</v>
      </c>
      <c r="F168" s="2">
        <f t="shared" si="1"/>
        <v>25.377690963322603</v>
      </c>
      <c r="G168" s="2">
        <f t="shared" si="2"/>
        <v>11.11131822289005</v>
      </c>
      <c r="H168" s="2">
        <f t="shared" si="3"/>
        <v>39.644063703755158</v>
      </c>
      <c r="I168" s="1">
        <v>0</v>
      </c>
    </row>
    <row r="169" spans="1:9" ht="14.25" customHeight="1" x14ac:dyDescent="0.35">
      <c r="A169" s="1">
        <v>452</v>
      </c>
      <c r="B169" s="4">
        <v>2.9664193506709768</v>
      </c>
      <c r="C169" s="5">
        <v>45.146999143990016</v>
      </c>
      <c r="D169" s="4">
        <v>2.7475387723030509</v>
      </c>
      <c r="E169" s="2">
        <f t="shared" si="0"/>
        <v>11.286749785997504</v>
      </c>
      <c r="F169" s="2">
        <f t="shared" si="1"/>
        <v>68.68846930757627</v>
      </c>
      <c r="G169" s="2">
        <f t="shared" si="2"/>
        <v>57.401719521578769</v>
      </c>
      <c r="H169" s="2">
        <f t="shared" si="3"/>
        <v>79.97521909357377</v>
      </c>
      <c r="I169" s="1">
        <v>1</v>
      </c>
    </row>
    <row r="170" spans="1:9" ht="14.25" customHeight="1" x14ac:dyDescent="0.35">
      <c r="A170" s="1">
        <v>453</v>
      </c>
      <c r="B170" s="4">
        <v>0.66901126411196388</v>
      </c>
      <c r="C170" s="5">
        <v>91.096457737403895</v>
      </c>
      <c r="D170" s="4">
        <v>1.0634737095200235</v>
      </c>
      <c r="E170" s="2">
        <f t="shared" si="0"/>
        <v>22.774114434350974</v>
      </c>
      <c r="F170" s="2">
        <f t="shared" si="1"/>
        <v>26.586842738000588</v>
      </c>
      <c r="G170" s="2">
        <f t="shared" si="2"/>
        <v>3.8127283036496138</v>
      </c>
      <c r="H170" s="2">
        <f t="shared" si="3"/>
        <v>49.360957172351561</v>
      </c>
      <c r="I170" s="1">
        <v>0</v>
      </c>
    </row>
    <row r="171" spans="1:9" ht="14.25" customHeight="1" x14ac:dyDescent="0.35">
      <c r="A171" s="1">
        <v>456</v>
      </c>
      <c r="B171" s="4">
        <v>3.5090733514186034</v>
      </c>
      <c r="C171" s="5">
        <v>72.841066068298133</v>
      </c>
      <c r="D171" s="4">
        <v>2.6869532336308892</v>
      </c>
      <c r="E171" s="2">
        <f t="shared" si="0"/>
        <v>18.210266517074533</v>
      </c>
      <c r="F171" s="2">
        <f t="shared" si="1"/>
        <v>67.173830840772226</v>
      </c>
      <c r="G171" s="2">
        <f t="shared" si="2"/>
        <v>48.963564323697696</v>
      </c>
      <c r="H171" s="2">
        <f t="shared" si="3"/>
        <v>85.384097357846755</v>
      </c>
      <c r="I171" s="1">
        <v>1</v>
      </c>
    </row>
    <row r="172" spans="1:9" ht="14.25" customHeight="1" x14ac:dyDescent="0.35">
      <c r="A172" s="1">
        <v>457</v>
      </c>
      <c r="B172" s="4">
        <v>9.7411291855280542</v>
      </c>
      <c r="C172" s="5">
        <v>61.295537631767019</v>
      </c>
      <c r="D172" s="4">
        <v>3.0412583737298071</v>
      </c>
      <c r="E172" s="2">
        <f t="shared" si="0"/>
        <v>15.323884407941755</v>
      </c>
      <c r="F172" s="2">
        <f t="shared" si="1"/>
        <v>76.031459343245174</v>
      </c>
      <c r="G172" s="2">
        <f t="shared" si="2"/>
        <v>60.70757493530342</v>
      </c>
      <c r="H172" s="2">
        <f t="shared" si="3"/>
        <v>91.355343751186922</v>
      </c>
      <c r="I172" s="1">
        <v>0</v>
      </c>
    </row>
    <row r="173" spans="1:9" ht="14.25" customHeight="1" x14ac:dyDescent="0.35">
      <c r="A173" s="1">
        <v>458</v>
      </c>
      <c r="B173" s="4">
        <v>2.2156445007231671</v>
      </c>
      <c r="C173" s="5">
        <v>79.041446545527791</v>
      </c>
      <c r="D173" s="4">
        <v>0.60677025062705414</v>
      </c>
      <c r="E173" s="2">
        <f t="shared" si="0"/>
        <v>19.760361636381948</v>
      </c>
      <c r="F173" s="2">
        <f t="shared" si="1"/>
        <v>15.169256265676353</v>
      </c>
      <c r="G173" s="2">
        <f t="shared" si="2"/>
        <v>-4.5911053707055949</v>
      </c>
      <c r="H173" s="2">
        <f t="shared" si="3"/>
        <v>34.929617902058297</v>
      </c>
      <c r="I173" s="1">
        <v>0</v>
      </c>
    </row>
    <row r="174" spans="1:9" ht="14.25" customHeight="1" x14ac:dyDescent="0.35">
      <c r="A174" s="1">
        <v>461</v>
      </c>
      <c r="B174" s="4">
        <v>9.8706430081565681</v>
      </c>
      <c r="C174" s="5">
        <v>6.5135063795158761</v>
      </c>
      <c r="D174" s="4">
        <v>2.3568961093450351</v>
      </c>
      <c r="E174" s="2">
        <f t="shared" si="0"/>
        <v>1.628376594878969</v>
      </c>
      <c r="F174" s="2">
        <f t="shared" si="1"/>
        <v>58.92240273362588</v>
      </c>
      <c r="G174" s="2">
        <f t="shared" si="2"/>
        <v>57.294026138746908</v>
      </c>
      <c r="H174" s="2">
        <f t="shared" si="3"/>
        <v>60.550779328504852</v>
      </c>
      <c r="I174" s="1">
        <v>0</v>
      </c>
    </row>
    <row r="175" spans="1:9" ht="14.25" customHeight="1" x14ac:dyDescent="0.35">
      <c r="A175" s="1">
        <v>464</v>
      </c>
      <c r="B175" s="4">
        <v>6.7669690467274481</v>
      </c>
      <c r="C175" s="5">
        <v>2.9920748749063808</v>
      </c>
      <c r="D175" s="4">
        <v>2.5447374597202428</v>
      </c>
      <c r="E175" s="2">
        <f t="shared" si="0"/>
        <v>0.7480187187265952</v>
      </c>
      <c r="F175" s="2">
        <f t="shared" si="1"/>
        <v>63.618436493006072</v>
      </c>
      <c r="G175" s="2">
        <f t="shared" si="2"/>
        <v>62.870417774279474</v>
      </c>
      <c r="H175" s="2">
        <f t="shared" si="3"/>
        <v>64.366455211732671</v>
      </c>
      <c r="I175" s="1">
        <v>0</v>
      </c>
    </row>
    <row r="176" spans="1:9" ht="14.25" customHeight="1" x14ac:dyDescent="0.35">
      <c r="A176" s="1">
        <v>465</v>
      </c>
      <c r="B176" s="4">
        <v>3.0831343869225938</v>
      </c>
      <c r="C176" s="5">
        <v>86.805112219472846</v>
      </c>
      <c r="D176" s="4">
        <v>2.2485544267886968</v>
      </c>
      <c r="E176" s="2">
        <f t="shared" si="0"/>
        <v>21.701278054868212</v>
      </c>
      <c r="F176" s="2">
        <f t="shared" si="1"/>
        <v>56.21386066971742</v>
      </c>
      <c r="G176" s="2">
        <f t="shared" si="2"/>
        <v>34.512582614849208</v>
      </c>
      <c r="H176" s="2">
        <f t="shared" si="3"/>
        <v>77.915138724585631</v>
      </c>
      <c r="I176" s="1">
        <v>1</v>
      </c>
    </row>
    <row r="177" spans="1:9" ht="14.25" customHeight="1" x14ac:dyDescent="0.35">
      <c r="A177" s="1">
        <v>466</v>
      </c>
      <c r="B177" s="4">
        <v>5.2486953648089152</v>
      </c>
      <c r="C177" s="5">
        <v>6.8191733528805027</v>
      </c>
      <c r="D177" s="4">
        <v>0.69438688024081152</v>
      </c>
      <c r="E177" s="2">
        <f t="shared" si="0"/>
        <v>1.7047933382201257</v>
      </c>
      <c r="F177" s="2">
        <f t="shared" si="1"/>
        <v>17.35967200602029</v>
      </c>
      <c r="G177" s="2">
        <f t="shared" si="2"/>
        <v>15.654878667800164</v>
      </c>
      <c r="H177" s="2">
        <f t="shared" si="3"/>
        <v>19.064465344240414</v>
      </c>
      <c r="I177" s="1">
        <v>0</v>
      </c>
    </row>
    <row r="178" spans="1:9" ht="14.25" customHeight="1" x14ac:dyDescent="0.35">
      <c r="A178" s="1">
        <v>468</v>
      </c>
      <c r="B178" s="4">
        <v>2.6929204855717415</v>
      </c>
      <c r="C178" s="5">
        <v>90.911355869028071</v>
      </c>
      <c r="D178" s="4">
        <v>2.3798072204901284</v>
      </c>
      <c r="E178" s="2">
        <f t="shared" si="0"/>
        <v>22.727838967257018</v>
      </c>
      <c r="F178" s="2">
        <f t="shared" si="1"/>
        <v>59.495180512253206</v>
      </c>
      <c r="G178" s="2">
        <f t="shared" si="2"/>
        <v>36.767341544996185</v>
      </c>
      <c r="H178" s="2">
        <f t="shared" si="3"/>
        <v>82.223019479510228</v>
      </c>
      <c r="I178" s="1">
        <v>1</v>
      </c>
    </row>
    <row r="179" spans="1:9" ht="14.25" customHeight="1" x14ac:dyDescent="0.35">
      <c r="A179" s="1">
        <v>469</v>
      </c>
      <c r="B179" s="4">
        <v>1.960260648324007</v>
      </c>
      <c r="C179" s="5">
        <v>84.827544236003277</v>
      </c>
      <c r="D179" s="4">
        <v>1.4916155764711687</v>
      </c>
      <c r="E179" s="2">
        <f t="shared" si="0"/>
        <v>21.206886059000819</v>
      </c>
      <c r="F179" s="2">
        <f t="shared" si="1"/>
        <v>37.290389411779216</v>
      </c>
      <c r="G179" s="2">
        <f t="shared" si="2"/>
        <v>16.083503352778397</v>
      </c>
      <c r="H179" s="2">
        <f t="shared" si="3"/>
        <v>58.497275470780039</v>
      </c>
      <c r="I179" s="1">
        <v>0</v>
      </c>
    </row>
    <row r="180" spans="1:9" ht="14.25" customHeight="1" x14ac:dyDescent="0.35">
      <c r="A180" s="1">
        <v>470</v>
      </c>
      <c r="B180" s="4">
        <v>6.9519228468531882</v>
      </c>
      <c r="C180" s="5">
        <v>8.8744800057905628</v>
      </c>
      <c r="D180" s="4">
        <v>3.0340246196971177</v>
      </c>
      <c r="E180" s="2">
        <f t="shared" si="0"/>
        <v>2.2186200014476407</v>
      </c>
      <c r="F180" s="2">
        <f t="shared" si="1"/>
        <v>75.850615492427949</v>
      </c>
      <c r="G180" s="2">
        <f t="shared" si="2"/>
        <v>73.631995490980302</v>
      </c>
      <c r="H180" s="2">
        <f t="shared" si="3"/>
        <v>78.069235493875595</v>
      </c>
      <c r="I180" s="1">
        <v>0</v>
      </c>
    </row>
    <row r="181" spans="1:9" ht="14.25" customHeight="1" x14ac:dyDescent="0.35">
      <c r="A181" s="1">
        <v>476</v>
      </c>
      <c r="B181" s="4">
        <v>3.4385573789594392</v>
      </c>
      <c r="C181" s="5">
        <v>11.72597529678735</v>
      </c>
      <c r="D181" s="4">
        <v>2.1631363747642265</v>
      </c>
      <c r="E181" s="2">
        <f t="shared" si="0"/>
        <v>2.9314938241968376</v>
      </c>
      <c r="F181" s="2">
        <f t="shared" si="1"/>
        <v>54.078409369105664</v>
      </c>
      <c r="G181" s="2">
        <f t="shared" si="2"/>
        <v>51.146915544908829</v>
      </c>
      <c r="H181" s="2">
        <f t="shared" si="3"/>
        <v>57.009903193302499</v>
      </c>
      <c r="I181" s="1">
        <v>1</v>
      </c>
    </row>
    <row r="182" spans="1:9" ht="14.25" customHeight="1" x14ac:dyDescent="0.35">
      <c r="A182" s="1">
        <v>478</v>
      </c>
      <c r="B182" s="4">
        <v>2.4935478014950609</v>
      </c>
      <c r="C182" s="5">
        <v>75.927294158058331</v>
      </c>
      <c r="D182" s="4">
        <v>0.56322531425531597</v>
      </c>
      <c r="E182" s="2">
        <f t="shared" si="0"/>
        <v>18.981823539514583</v>
      </c>
      <c r="F182" s="2">
        <f t="shared" si="1"/>
        <v>14.080632856382898</v>
      </c>
      <c r="G182" s="2">
        <f t="shared" si="2"/>
        <v>-4.9011906831316843</v>
      </c>
      <c r="H182" s="2">
        <f t="shared" si="3"/>
        <v>33.062456395897485</v>
      </c>
      <c r="I182" s="1">
        <v>0</v>
      </c>
    </row>
    <row r="183" spans="1:9" ht="14.25" customHeight="1" x14ac:dyDescent="0.35">
      <c r="A183" s="1">
        <v>479</v>
      </c>
      <c r="B183" s="4">
        <v>2.3623766896901865</v>
      </c>
      <c r="C183" s="5">
        <v>2.4240394499852935</v>
      </c>
      <c r="D183" s="4">
        <v>0.9464445731485791</v>
      </c>
      <c r="E183" s="2">
        <f t="shared" si="0"/>
        <v>0.60600986249632338</v>
      </c>
      <c r="F183" s="2">
        <f t="shared" si="1"/>
        <v>23.661114328714479</v>
      </c>
      <c r="G183" s="2">
        <f t="shared" si="2"/>
        <v>23.055104466218157</v>
      </c>
      <c r="H183" s="2">
        <f t="shared" si="3"/>
        <v>24.267124191210801</v>
      </c>
      <c r="I183" s="1">
        <v>0</v>
      </c>
    </row>
    <row r="184" spans="1:9" ht="14.25" customHeight="1" x14ac:dyDescent="0.35">
      <c r="A184" s="1">
        <v>480</v>
      </c>
      <c r="B184" s="4">
        <v>7.4880841886086351</v>
      </c>
      <c r="C184" s="5">
        <v>6.6127645590714597</v>
      </c>
      <c r="D184" s="4">
        <v>2.9927085828985591</v>
      </c>
      <c r="E184" s="2">
        <f t="shared" si="0"/>
        <v>1.6531911397678649</v>
      </c>
      <c r="F184" s="2">
        <f t="shared" si="1"/>
        <v>74.817714572463984</v>
      </c>
      <c r="G184" s="2">
        <f t="shared" si="2"/>
        <v>73.164523432696114</v>
      </c>
      <c r="H184" s="2">
        <f t="shared" si="3"/>
        <v>76.470905712231854</v>
      </c>
      <c r="I184" s="1">
        <v>0</v>
      </c>
    </row>
    <row r="185" spans="1:9" ht="14.25" customHeight="1" x14ac:dyDescent="0.35">
      <c r="A185" s="1">
        <v>497</v>
      </c>
      <c r="B185" s="4">
        <v>3.4258996731896465</v>
      </c>
      <c r="C185" s="5">
        <v>96.180889629371464</v>
      </c>
      <c r="D185" s="4">
        <v>2.4505110613265035</v>
      </c>
      <c r="E185" s="2">
        <f t="shared" si="0"/>
        <v>24.045222407342866</v>
      </c>
      <c r="F185" s="2">
        <f t="shared" si="1"/>
        <v>61.262776533162587</v>
      </c>
      <c r="G185" s="2">
        <f t="shared" si="2"/>
        <v>37.217554125819717</v>
      </c>
      <c r="H185" s="2">
        <f t="shared" si="3"/>
        <v>85.307998940505456</v>
      </c>
      <c r="I185" s="1">
        <v>1</v>
      </c>
    </row>
    <row r="186" spans="1:9" ht="14.25" customHeight="1" x14ac:dyDescent="0.35">
      <c r="A186" s="1">
        <v>498</v>
      </c>
      <c r="B186" s="4">
        <v>1.9104088844112177</v>
      </c>
      <c r="C186" s="5">
        <v>82.940284101775546</v>
      </c>
      <c r="D186" s="4">
        <v>2.8432320106605471</v>
      </c>
      <c r="E186" s="2">
        <f t="shared" si="0"/>
        <v>20.735071025443887</v>
      </c>
      <c r="F186" s="2">
        <f t="shared" si="1"/>
        <v>71.080800266513677</v>
      </c>
      <c r="G186" s="2">
        <f t="shared" si="2"/>
        <v>50.34572924106979</v>
      </c>
      <c r="H186" s="2">
        <f t="shared" si="3"/>
        <v>91.815871291957563</v>
      </c>
      <c r="I186" s="1">
        <v>1</v>
      </c>
    </row>
    <row r="187" spans="1:9" ht="14.25" customHeight="1" x14ac:dyDescent="0.35">
      <c r="A187" s="1">
        <v>502</v>
      </c>
      <c r="B187" s="4">
        <v>9.7173833291681291</v>
      </c>
      <c r="C187" s="5">
        <v>89.470362092680816</v>
      </c>
      <c r="D187" s="4">
        <v>3.1327745557221771</v>
      </c>
      <c r="E187" s="2">
        <f t="shared" si="0"/>
        <v>22.367590523170204</v>
      </c>
      <c r="F187" s="2">
        <f t="shared" si="1"/>
        <v>78.31936389305443</v>
      </c>
      <c r="G187" s="2">
        <f t="shared" si="2"/>
        <v>55.951773369884222</v>
      </c>
      <c r="H187" s="2">
        <f t="shared" si="3"/>
        <v>100.68695441622464</v>
      </c>
      <c r="I187" s="1">
        <v>0</v>
      </c>
    </row>
    <row r="188" spans="1:9" ht="14.25" customHeight="1" x14ac:dyDescent="0.35">
      <c r="A188" s="1">
        <v>505</v>
      </c>
      <c r="B188" s="4">
        <v>4.6162238654125858</v>
      </c>
      <c r="C188" s="5">
        <v>82.06347396339882</v>
      </c>
      <c r="D188" s="4">
        <v>3.0154314720782232</v>
      </c>
      <c r="E188" s="2">
        <f t="shared" si="0"/>
        <v>20.515868490849705</v>
      </c>
      <c r="F188" s="2">
        <f t="shared" si="1"/>
        <v>75.385786801955575</v>
      </c>
      <c r="G188" s="2">
        <f t="shared" si="2"/>
        <v>54.86991831110587</v>
      </c>
      <c r="H188" s="2">
        <f t="shared" si="3"/>
        <v>95.901655292805287</v>
      </c>
      <c r="I188" s="1">
        <v>1</v>
      </c>
    </row>
    <row r="189" spans="1:9" ht="14.25" customHeight="1" x14ac:dyDescent="0.35">
      <c r="A189" s="1">
        <v>512</v>
      </c>
      <c r="B189" s="4">
        <v>9.520233719062384</v>
      </c>
      <c r="C189" s="5">
        <v>66.494999852687727</v>
      </c>
      <c r="D189" s="4">
        <v>2.9838461418983462</v>
      </c>
      <c r="E189" s="2">
        <f t="shared" si="0"/>
        <v>16.623749963171932</v>
      </c>
      <c r="F189" s="2">
        <f t="shared" si="1"/>
        <v>74.596153547458655</v>
      </c>
      <c r="G189" s="2">
        <f t="shared" si="2"/>
        <v>57.972403584286724</v>
      </c>
      <c r="H189" s="2">
        <f t="shared" si="3"/>
        <v>91.219903510630587</v>
      </c>
      <c r="I189" s="1">
        <v>0</v>
      </c>
    </row>
    <row r="190" spans="1:9" ht="14.25" customHeight="1" x14ac:dyDescent="0.35">
      <c r="A190" s="1">
        <v>515</v>
      </c>
      <c r="B190" s="4">
        <v>1.240627503102999</v>
      </c>
      <c r="C190" s="5">
        <v>54.593837840536132</v>
      </c>
      <c r="D190" s="4">
        <v>1.0018793941922919</v>
      </c>
      <c r="E190" s="2">
        <f t="shared" si="0"/>
        <v>13.648459460134033</v>
      </c>
      <c r="F190" s="2">
        <f t="shared" si="1"/>
        <v>25.046984854807299</v>
      </c>
      <c r="G190" s="2">
        <f t="shared" si="2"/>
        <v>11.398525394673266</v>
      </c>
      <c r="H190" s="2">
        <f t="shared" si="3"/>
        <v>38.695444314941334</v>
      </c>
      <c r="I190" s="1">
        <v>0</v>
      </c>
    </row>
    <row r="191" spans="1:9" ht="14.25" customHeight="1" x14ac:dyDescent="0.35">
      <c r="A191" s="1">
        <v>516</v>
      </c>
      <c r="B191" s="4">
        <v>2.9214487533555857</v>
      </c>
      <c r="C191" s="5">
        <v>50.293624079647927</v>
      </c>
      <c r="D191" s="4">
        <v>2.0706819089538282</v>
      </c>
      <c r="E191" s="2">
        <f t="shared" si="0"/>
        <v>12.573406019911982</v>
      </c>
      <c r="F191" s="2">
        <f t="shared" si="1"/>
        <v>51.767047723845707</v>
      </c>
      <c r="G191" s="2">
        <f t="shared" si="2"/>
        <v>39.193641703933721</v>
      </c>
      <c r="H191" s="2">
        <f t="shared" si="3"/>
        <v>64.340453743757692</v>
      </c>
      <c r="I191" s="1">
        <v>1</v>
      </c>
    </row>
    <row r="192" spans="1:9" ht="14.25" customHeight="1" x14ac:dyDescent="0.35">
      <c r="A192" s="1">
        <v>519</v>
      </c>
      <c r="B192" s="4">
        <v>1.7129214016216177</v>
      </c>
      <c r="C192" s="5">
        <v>34.069887001805455</v>
      </c>
      <c r="D192" s="4">
        <v>1.2210861738871173</v>
      </c>
      <c r="E192" s="2">
        <f t="shared" si="0"/>
        <v>8.5174717504513637</v>
      </c>
      <c r="F192" s="2">
        <f t="shared" si="1"/>
        <v>30.52715434717793</v>
      </c>
      <c r="G192" s="2">
        <f t="shared" si="2"/>
        <v>22.009682596726567</v>
      </c>
      <c r="H192" s="2">
        <f t="shared" si="3"/>
        <v>39.04462609762929</v>
      </c>
      <c r="I192" s="1">
        <v>1</v>
      </c>
    </row>
    <row r="193" spans="1:9" ht="14.25" customHeight="1" x14ac:dyDescent="0.35">
      <c r="A193" s="1">
        <v>523</v>
      </c>
      <c r="B193" s="4">
        <v>1.1308325558149801</v>
      </c>
      <c r="C193" s="5">
        <v>19.756648686936952</v>
      </c>
      <c r="D193" s="4">
        <v>0.45532453933257716</v>
      </c>
      <c r="E193" s="2">
        <f t="shared" si="0"/>
        <v>4.939162171734238</v>
      </c>
      <c r="F193" s="2">
        <f t="shared" si="1"/>
        <v>11.383113483314428</v>
      </c>
      <c r="G193" s="2">
        <f t="shared" si="2"/>
        <v>6.4439513115801903</v>
      </c>
      <c r="H193" s="2">
        <f t="shared" si="3"/>
        <v>16.322275655048667</v>
      </c>
      <c r="I193" s="1">
        <v>0</v>
      </c>
    </row>
    <row r="194" spans="1:9" ht="14.25" customHeight="1" x14ac:dyDescent="0.35">
      <c r="A194" s="1">
        <v>524</v>
      </c>
      <c r="B194" s="4">
        <v>8.7645752668996515</v>
      </c>
      <c r="C194" s="5">
        <v>6.3930294339379135</v>
      </c>
      <c r="D194" s="4">
        <v>1.6447189242021771</v>
      </c>
      <c r="E194" s="2">
        <f t="shared" si="0"/>
        <v>1.5982573584844784</v>
      </c>
      <c r="F194" s="2">
        <f t="shared" si="1"/>
        <v>41.117973105054432</v>
      </c>
      <c r="G194" s="2">
        <f t="shared" si="2"/>
        <v>39.51971574656995</v>
      </c>
      <c r="H194" s="2">
        <f t="shared" si="3"/>
        <v>42.716230463538913</v>
      </c>
      <c r="I194" s="1">
        <v>0</v>
      </c>
    </row>
    <row r="195" spans="1:9" ht="14.25" customHeight="1" x14ac:dyDescent="0.35">
      <c r="A195" s="1">
        <v>525</v>
      </c>
      <c r="B195" s="4">
        <v>9.5236409817562873</v>
      </c>
      <c r="C195" s="5">
        <v>97.275718833503845</v>
      </c>
      <c r="D195" s="4">
        <v>2.9864677906012709</v>
      </c>
      <c r="E195" s="2">
        <f t="shared" si="0"/>
        <v>24.318929708375961</v>
      </c>
      <c r="F195" s="2">
        <f t="shared" si="1"/>
        <v>74.661694765031768</v>
      </c>
      <c r="G195" s="2">
        <f t="shared" si="2"/>
        <v>50.342765056655807</v>
      </c>
      <c r="H195" s="2">
        <f t="shared" si="3"/>
        <v>98.98062447340773</v>
      </c>
      <c r="I195" s="1">
        <v>0</v>
      </c>
    </row>
    <row r="196" spans="1:9" ht="14.25" customHeight="1" x14ac:dyDescent="0.35">
      <c r="A196" s="1">
        <v>528</v>
      </c>
      <c r="B196" s="4">
        <v>9.099825342945012</v>
      </c>
      <c r="C196" s="5">
        <v>4.6999173287881941</v>
      </c>
      <c r="D196" s="4">
        <v>2.9623447401465319</v>
      </c>
      <c r="E196" s="2">
        <f t="shared" si="0"/>
        <v>1.1749793321970485</v>
      </c>
      <c r="F196" s="2">
        <f t="shared" si="1"/>
        <v>74.058618503663297</v>
      </c>
      <c r="G196" s="2">
        <f t="shared" si="2"/>
        <v>72.883639171466243</v>
      </c>
      <c r="H196" s="2">
        <f t="shared" si="3"/>
        <v>75.233597835860351</v>
      </c>
      <c r="I196" s="1">
        <v>0</v>
      </c>
    </row>
    <row r="197" spans="1:9" ht="14.25" customHeight="1" x14ac:dyDescent="0.35">
      <c r="A197" s="1">
        <v>530</v>
      </c>
      <c r="B197" s="4">
        <v>2.5313910301294964</v>
      </c>
      <c r="C197" s="5">
        <v>66.493854954952141</v>
      </c>
      <c r="D197" s="4">
        <v>2.1687808685646695</v>
      </c>
      <c r="E197" s="2">
        <f t="shared" si="0"/>
        <v>16.623463738738035</v>
      </c>
      <c r="F197" s="2">
        <f t="shared" si="1"/>
        <v>54.219521714116738</v>
      </c>
      <c r="G197" s="2">
        <f t="shared" si="2"/>
        <v>37.596057975378699</v>
      </c>
      <c r="H197" s="2">
        <f t="shared" si="3"/>
        <v>70.842985452854776</v>
      </c>
      <c r="I197" s="1">
        <v>1</v>
      </c>
    </row>
    <row r="198" spans="1:9" ht="14.25" customHeight="1" x14ac:dyDescent="0.35">
      <c r="A198" s="1">
        <v>531</v>
      </c>
      <c r="B198" s="4">
        <v>2.3230111253359453</v>
      </c>
      <c r="C198" s="5">
        <v>52.211004781502709</v>
      </c>
      <c r="D198" s="4">
        <v>1.5462919626361256</v>
      </c>
      <c r="E198" s="2">
        <f t="shared" si="0"/>
        <v>13.052751195375677</v>
      </c>
      <c r="F198" s="2">
        <f t="shared" si="1"/>
        <v>38.657299065903139</v>
      </c>
      <c r="G198" s="2">
        <f t="shared" si="2"/>
        <v>25.604547870527462</v>
      </c>
      <c r="H198" s="2">
        <f t="shared" si="3"/>
        <v>51.710050261278816</v>
      </c>
      <c r="I198" s="1">
        <v>1</v>
      </c>
    </row>
    <row r="199" spans="1:9" ht="14.25" customHeight="1" x14ac:dyDescent="0.35">
      <c r="A199" s="1">
        <v>532</v>
      </c>
      <c r="B199" s="4">
        <v>5.7312977182662452</v>
      </c>
      <c r="C199" s="5">
        <v>96.913462579320978</v>
      </c>
      <c r="D199" s="4">
        <v>3.0287408735314862</v>
      </c>
      <c r="E199" s="2">
        <f t="shared" si="0"/>
        <v>24.228365644830244</v>
      </c>
      <c r="F199" s="2">
        <f t="shared" si="1"/>
        <v>75.71852183828716</v>
      </c>
      <c r="G199" s="2">
        <f t="shared" si="2"/>
        <v>51.490156193456912</v>
      </c>
      <c r="H199" s="2">
        <f t="shared" si="3"/>
        <v>99.946887483117408</v>
      </c>
      <c r="I199" s="1">
        <v>0</v>
      </c>
    </row>
    <row r="200" spans="1:9" ht="14.25" customHeight="1" x14ac:dyDescent="0.35">
      <c r="A200" s="1">
        <v>536</v>
      </c>
      <c r="B200" s="4">
        <v>3.2945405279487461</v>
      </c>
      <c r="C200" s="5">
        <v>29.646627677663162</v>
      </c>
      <c r="D200" s="4">
        <v>2.4709256706022753</v>
      </c>
      <c r="E200" s="2">
        <f t="shared" si="0"/>
        <v>7.4116569194157904</v>
      </c>
      <c r="F200" s="2">
        <f t="shared" si="1"/>
        <v>61.773141765056884</v>
      </c>
      <c r="G200" s="2">
        <f t="shared" si="2"/>
        <v>54.361484845641094</v>
      </c>
      <c r="H200" s="2">
        <f t="shared" si="3"/>
        <v>69.184798684472668</v>
      </c>
      <c r="I200" s="1">
        <v>1</v>
      </c>
    </row>
    <row r="201" spans="1:9" ht="14.25" customHeight="1" x14ac:dyDescent="0.35">
      <c r="A201" s="1">
        <v>537</v>
      </c>
      <c r="B201" s="4">
        <v>1.7950126880606188</v>
      </c>
      <c r="C201" s="5">
        <v>90.925769445749779</v>
      </c>
      <c r="D201" s="4">
        <v>2.6579714270564554</v>
      </c>
      <c r="E201" s="2">
        <f t="shared" si="0"/>
        <v>22.731442361437445</v>
      </c>
      <c r="F201" s="2">
        <f t="shared" si="1"/>
        <v>66.449285676411378</v>
      </c>
      <c r="G201" s="2">
        <f t="shared" si="2"/>
        <v>43.717843314973933</v>
      </c>
      <c r="H201" s="2">
        <f t="shared" si="3"/>
        <v>89.180728037848823</v>
      </c>
      <c r="I201" s="1">
        <v>1</v>
      </c>
    </row>
    <row r="202" spans="1:9" ht="14.25" customHeight="1" x14ac:dyDescent="0.35">
      <c r="A202" s="1">
        <v>541</v>
      </c>
      <c r="B202" s="4">
        <v>3.6651210525922293</v>
      </c>
      <c r="C202" s="5">
        <v>64.855652215284636</v>
      </c>
      <c r="D202" s="4">
        <v>2.1701470340175435</v>
      </c>
      <c r="E202" s="2">
        <f t="shared" si="0"/>
        <v>16.213913053821159</v>
      </c>
      <c r="F202" s="2">
        <f t="shared" si="1"/>
        <v>54.25367585043859</v>
      </c>
      <c r="G202" s="2">
        <f t="shared" si="2"/>
        <v>38.039762796617431</v>
      </c>
      <c r="H202" s="2">
        <f t="shared" si="3"/>
        <v>70.467588904259742</v>
      </c>
      <c r="I202" s="1">
        <v>0</v>
      </c>
    </row>
    <row r="203" spans="1:9" ht="14.25" customHeight="1" x14ac:dyDescent="0.35">
      <c r="A203" s="1">
        <v>542</v>
      </c>
      <c r="B203" s="4">
        <v>1.6840524927386569</v>
      </c>
      <c r="C203" s="5">
        <v>17.542143370001906</v>
      </c>
      <c r="D203" s="4">
        <v>0.90554164351009092</v>
      </c>
      <c r="E203" s="2">
        <f t="shared" si="0"/>
        <v>4.3855358425004765</v>
      </c>
      <c r="F203" s="2">
        <f t="shared" si="1"/>
        <v>22.638541087752273</v>
      </c>
      <c r="G203" s="2">
        <f t="shared" si="2"/>
        <v>18.253005245251796</v>
      </c>
      <c r="H203" s="2">
        <f t="shared" si="3"/>
        <v>27.02407693025275</v>
      </c>
      <c r="I203" s="1">
        <v>0</v>
      </c>
    </row>
    <row r="204" spans="1:9" ht="14.25" customHeight="1" x14ac:dyDescent="0.35">
      <c r="A204" s="1">
        <v>543</v>
      </c>
      <c r="B204" s="4">
        <v>2.6990095804642378</v>
      </c>
      <c r="C204" s="5">
        <v>96.478619023202157</v>
      </c>
      <c r="D204" s="4">
        <v>2.7633519420603814</v>
      </c>
      <c r="E204" s="2">
        <f t="shared" si="0"/>
        <v>24.119654755800539</v>
      </c>
      <c r="F204" s="2">
        <f t="shared" si="1"/>
        <v>69.083798551509531</v>
      </c>
      <c r="G204" s="2">
        <f t="shared" si="2"/>
        <v>44.964143795708992</v>
      </c>
      <c r="H204" s="2">
        <f t="shared" si="3"/>
        <v>93.20345330731007</v>
      </c>
      <c r="I204" s="1">
        <v>1</v>
      </c>
    </row>
    <row r="205" spans="1:9" ht="14.25" customHeight="1" x14ac:dyDescent="0.35">
      <c r="A205" s="1">
        <v>546</v>
      </c>
      <c r="B205" s="4">
        <v>7.7609436941717203</v>
      </c>
      <c r="C205" s="5">
        <v>74.093371923050739</v>
      </c>
      <c r="D205" s="4">
        <v>3.0392764260310083</v>
      </c>
      <c r="E205" s="2">
        <f t="shared" si="0"/>
        <v>18.523342980762685</v>
      </c>
      <c r="F205" s="2">
        <f t="shared" si="1"/>
        <v>75.981910650775205</v>
      </c>
      <c r="G205" s="2">
        <f t="shared" si="2"/>
        <v>57.458567670012521</v>
      </c>
      <c r="H205" s="2">
        <f t="shared" si="3"/>
        <v>94.505253631537897</v>
      </c>
      <c r="I205" s="1">
        <v>0</v>
      </c>
    </row>
    <row r="206" spans="1:9" ht="14.25" customHeight="1" x14ac:dyDescent="0.35">
      <c r="A206" s="1">
        <v>549</v>
      </c>
      <c r="B206" s="4">
        <v>1.3572258448421848</v>
      </c>
      <c r="C206" s="5">
        <v>84.018507107467201</v>
      </c>
      <c r="D206" s="4">
        <v>1.2038949624514466</v>
      </c>
      <c r="E206" s="2">
        <f t="shared" si="0"/>
        <v>21.0046267768668</v>
      </c>
      <c r="F206" s="2">
        <f t="shared" si="1"/>
        <v>30.097374061286164</v>
      </c>
      <c r="G206" s="2">
        <f t="shared" si="2"/>
        <v>9.0927472844193638</v>
      </c>
      <c r="H206" s="2">
        <f t="shared" si="3"/>
        <v>51.102000838152961</v>
      </c>
      <c r="I206" s="1">
        <v>0</v>
      </c>
    </row>
    <row r="207" spans="1:9" ht="14.25" customHeight="1" x14ac:dyDescent="0.35">
      <c r="A207" s="1">
        <v>552</v>
      </c>
      <c r="B207" s="4">
        <v>7.9125297320670285</v>
      </c>
      <c r="C207" s="5">
        <v>19.310801982175718</v>
      </c>
      <c r="D207" s="4">
        <v>2.8415245242834861</v>
      </c>
      <c r="E207" s="2">
        <f t="shared" si="0"/>
        <v>4.8277004955439295</v>
      </c>
      <c r="F207" s="2">
        <f t="shared" si="1"/>
        <v>71.038113107087156</v>
      </c>
      <c r="G207" s="2">
        <f t="shared" si="2"/>
        <v>66.210412611543234</v>
      </c>
      <c r="H207" s="2">
        <f t="shared" si="3"/>
        <v>75.865813602631079</v>
      </c>
      <c r="I207" s="1">
        <v>0</v>
      </c>
    </row>
    <row r="208" spans="1:9" ht="14.25" customHeight="1" x14ac:dyDescent="0.35">
      <c r="A208" s="1">
        <v>555</v>
      </c>
      <c r="B208" s="4">
        <v>6.4576425653480527</v>
      </c>
      <c r="C208" s="5">
        <v>73.530343404511726</v>
      </c>
      <c r="D208" s="4">
        <v>2.9206955976643583</v>
      </c>
      <c r="E208" s="2">
        <f t="shared" si="0"/>
        <v>18.382585851127931</v>
      </c>
      <c r="F208" s="2">
        <f t="shared" si="1"/>
        <v>73.017389941608954</v>
      </c>
      <c r="G208" s="2">
        <f t="shared" si="2"/>
        <v>54.634804090481026</v>
      </c>
      <c r="H208" s="2">
        <f t="shared" si="3"/>
        <v>91.399975792736882</v>
      </c>
      <c r="I208" s="1">
        <v>0</v>
      </c>
    </row>
    <row r="209" spans="1:9" ht="14.25" customHeight="1" x14ac:dyDescent="0.35">
      <c r="A209" s="1">
        <v>558</v>
      </c>
      <c r="B209" s="4">
        <v>4.2138978092078769</v>
      </c>
      <c r="C209" s="5">
        <v>75.38453761039554</v>
      </c>
      <c r="D209" s="4">
        <v>3.0708065986658539</v>
      </c>
      <c r="E209" s="2">
        <f t="shared" si="0"/>
        <v>18.846134402598885</v>
      </c>
      <c r="F209" s="2">
        <f t="shared" si="1"/>
        <v>76.770164966646348</v>
      </c>
      <c r="G209" s="2">
        <f t="shared" si="2"/>
        <v>57.924030564047463</v>
      </c>
      <c r="H209" s="2">
        <f t="shared" si="3"/>
        <v>95.61629936924524</v>
      </c>
      <c r="I209" s="1">
        <v>1</v>
      </c>
    </row>
    <row r="210" spans="1:9" ht="14.25" customHeight="1" x14ac:dyDescent="0.35">
      <c r="A210" s="1">
        <v>561</v>
      </c>
      <c r="B210" s="4">
        <v>1.4930828690322018</v>
      </c>
      <c r="C210" s="5">
        <v>15.717982192987733</v>
      </c>
      <c r="D210" s="4">
        <v>2.6576969020460908</v>
      </c>
      <c r="E210" s="2">
        <f t="shared" si="0"/>
        <v>3.9294955482469334</v>
      </c>
      <c r="F210" s="2">
        <f t="shared" si="1"/>
        <v>66.442422551152276</v>
      </c>
      <c r="G210" s="2">
        <f t="shared" si="2"/>
        <v>62.512927002905343</v>
      </c>
      <c r="H210" s="2">
        <f t="shared" si="3"/>
        <v>70.37191809939921</v>
      </c>
      <c r="I210" s="1">
        <v>1</v>
      </c>
    </row>
    <row r="211" spans="1:9" ht="14.25" customHeight="1" x14ac:dyDescent="0.35">
      <c r="A211" s="1">
        <v>567</v>
      </c>
      <c r="B211" s="4">
        <v>5.938837137752337</v>
      </c>
      <c r="C211" s="5">
        <v>7.9265671784590097</v>
      </c>
      <c r="D211" s="4">
        <v>2.6989977181773459</v>
      </c>
      <c r="E211" s="2">
        <f t="shared" si="0"/>
        <v>1.9816417946147524</v>
      </c>
      <c r="F211" s="2">
        <f t="shared" si="1"/>
        <v>67.474942954433644</v>
      </c>
      <c r="G211" s="2">
        <f t="shared" si="2"/>
        <v>65.493301159818884</v>
      </c>
      <c r="H211" s="2">
        <f t="shared" si="3"/>
        <v>69.456584749048403</v>
      </c>
      <c r="I211" s="1">
        <v>1</v>
      </c>
    </row>
    <row r="212" spans="1:9" ht="14.25" customHeight="1" x14ac:dyDescent="0.35">
      <c r="A212" s="1">
        <v>569</v>
      </c>
      <c r="B212" s="4">
        <v>3.6644565432183054</v>
      </c>
      <c r="C212" s="5">
        <v>28.536053126350748</v>
      </c>
      <c r="D212" s="4">
        <v>2.2018557237066427</v>
      </c>
      <c r="E212" s="2">
        <f t="shared" si="0"/>
        <v>7.1340132815876869</v>
      </c>
      <c r="F212" s="2">
        <f t="shared" si="1"/>
        <v>55.046393092666065</v>
      </c>
      <c r="G212" s="2">
        <f t="shared" si="2"/>
        <v>47.912379811078381</v>
      </c>
      <c r="H212" s="2">
        <f t="shared" si="3"/>
        <v>62.180406374253749</v>
      </c>
      <c r="I212" s="1">
        <v>1</v>
      </c>
    </row>
    <row r="213" spans="1:9" ht="14.25" customHeight="1" x14ac:dyDescent="0.35">
      <c r="A213" s="1">
        <v>570</v>
      </c>
      <c r="B213" s="4">
        <v>4.641911641886189</v>
      </c>
      <c r="C213" s="5">
        <v>0.7361126155005504</v>
      </c>
      <c r="D213" s="4">
        <v>1.9311091598096972</v>
      </c>
      <c r="E213" s="2">
        <f t="shared" si="0"/>
        <v>0.1840281538751376</v>
      </c>
      <c r="F213" s="2">
        <f t="shared" si="1"/>
        <v>48.277728995242427</v>
      </c>
      <c r="G213" s="2">
        <f t="shared" si="2"/>
        <v>48.093700841367287</v>
      </c>
      <c r="H213" s="2">
        <f t="shared" si="3"/>
        <v>48.461757149117567</v>
      </c>
      <c r="I213" s="1">
        <v>0</v>
      </c>
    </row>
    <row r="214" spans="1:9" ht="14.25" customHeight="1" x14ac:dyDescent="0.35">
      <c r="A214" s="1">
        <v>578</v>
      </c>
      <c r="B214" s="4">
        <v>1.1944592939429988</v>
      </c>
      <c r="C214" s="5">
        <v>77.414553789961857</v>
      </c>
      <c r="D214" s="4">
        <v>1.4610814442965943</v>
      </c>
      <c r="E214" s="2">
        <f t="shared" si="0"/>
        <v>19.353638447490464</v>
      </c>
      <c r="F214" s="2">
        <f t="shared" si="1"/>
        <v>36.527036107414858</v>
      </c>
      <c r="G214" s="2">
        <f t="shared" si="2"/>
        <v>17.173397659924394</v>
      </c>
      <c r="H214" s="2">
        <f t="shared" si="3"/>
        <v>55.880674554905326</v>
      </c>
      <c r="I214" s="1">
        <v>1</v>
      </c>
    </row>
    <row r="215" spans="1:9" ht="14.25" customHeight="1" x14ac:dyDescent="0.35">
      <c r="A215" s="1">
        <v>580</v>
      </c>
      <c r="B215" s="4">
        <v>8.860693682664639</v>
      </c>
      <c r="C215" s="5">
        <v>41.472093133350455</v>
      </c>
      <c r="D215" s="4">
        <v>2.7936637729072373</v>
      </c>
      <c r="E215" s="2">
        <f t="shared" si="0"/>
        <v>10.368023283337614</v>
      </c>
      <c r="F215" s="2">
        <f t="shared" si="1"/>
        <v>69.841594322680933</v>
      </c>
      <c r="G215" s="2">
        <f t="shared" si="2"/>
        <v>59.473571039343319</v>
      </c>
      <c r="H215" s="2">
        <f t="shared" si="3"/>
        <v>80.209617606018554</v>
      </c>
      <c r="I215" s="1">
        <v>0</v>
      </c>
    </row>
    <row r="216" spans="1:9" ht="14.25" customHeight="1" x14ac:dyDescent="0.35">
      <c r="A216" s="1">
        <v>581</v>
      </c>
      <c r="B216" s="4">
        <v>1.4930828690322018</v>
      </c>
      <c r="C216" s="5">
        <v>26.990231455715875</v>
      </c>
      <c r="D216" s="4">
        <v>1.8120691029191798</v>
      </c>
      <c r="E216" s="2">
        <f t="shared" si="0"/>
        <v>6.7475578639289688</v>
      </c>
      <c r="F216" s="2">
        <f t="shared" si="1"/>
        <v>45.301727572979495</v>
      </c>
      <c r="G216" s="2">
        <f t="shared" si="2"/>
        <v>38.554169709050527</v>
      </c>
      <c r="H216" s="2">
        <f t="shared" si="3"/>
        <v>52.049285436908463</v>
      </c>
      <c r="I216" s="1">
        <v>1</v>
      </c>
    </row>
    <row r="217" spans="1:9" ht="14.25" customHeight="1" x14ac:dyDescent="0.35">
      <c r="A217" s="1">
        <v>582</v>
      </c>
      <c r="B217" s="4">
        <v>5.6107386917113438</v>
      </c>
      <c r="C217" s="5">
        <v>62.244386652207581</v>
      </c>
      <c r="D217" s="4">
        <v>2.9546760293938039</v>
      </c>
      <c r="E217" s="2">
        <f t="shared" si="0"/>
        <v>15.561096663051895</v>
      </c>
      <c r="F217" s="2">
        <f t="shared" si="1"/>
        <v>73.866900734845103</v>
      </c>
      <c r="G217" s="2">
        <f t="shared" si="2"/>
        <v>58.305804071793204</v>
      </c>
      <c r="H217" s="2">
        <f t="shared" si="3"/>
        <v>89.427997397897002</v>
      </c>
      <c r="I217" s="1">
        <v>0</v>
      </c>
    </row>
    <row r="218" spans="1:9" ht="14.25" customHeight="1" x14ac:dyDescent="0.35">
      <c r="A218" s="1">
        <v>586</v>
      </c>
      <c r="B218" s="4">
        <v>1.794780770638037</v>
      </c>
      <c r="C218" s="5">
        <v>13.157144050897463</v>
      </c>
      <c r="D218" s="4">
        <v>1.0187402261997685</v>
      </c>
      <c r="E218" s="2">
        <f t="shared" si="0"/>
        <v>3.2892860127243657</v>
      </c>
      <c r="F218" s="2">
        <f t="shared" si="1"/>
        <v>25.46850565499421</v>
      </c>
      <c r="G218" s="2">
        <f t="shared" si="2"/>
        <v>22.179219642269846</v>
      </c>
      <c r="H218" s="2">
        <f t="shared" si="3"/>
        <v>28.757791667718575</v>
      </c>
      <c r="I218" s="1">
        <v>1</v>
      </c>
    </row>
    <row r="219" spans="1:9" ht="14.25" customHeight="1" x14ac:dyDescent="0.35">
      <c r="A219" s="1">
        <v>592</v>
      </c>
      <c r="B219" s="4">
        <v>3.1448978560422081</v>
      </c>
      <c r="C219" s="5">
        <v>88.999860494817909</v>
      </c>
      <c r="D219" s="4">
        <v>0.45380353961207798</v>
      </c>
      <c r="E219" s="2">
        <f t="shared" si="0"/>
        <v>22.249965123704477</v>
      </c>
      <c r="F219" s="2">
        <f t="shared" si="1"/>
        <v>11.345088490301949</v>
      </c>
      <c r="G219" s="2">
        <f t="shared" si="2"/>
        <v>-10.904876633402528</v>
      </c>
      <c r="H219" s="2">
        <f t="shared" si="3"/>
        <v>33.595053614006424</v>
      </c>
      <c r="I219" s="1">
        <v>0</v>
      </c>
    </row>
    <row r="220" spans="1:9" ht="14.25" customHeight="1" x14ac:dyDescent="0.35">
      <c r="A220" s="1">
        <v>596</v>
      </c>
      <c r="B220" s="4">
        <v>5.4851922697947408</v>
      </c>
      <c r="C220" s="5">
        <v>82.744164611208475</v>
      </c>
      <c r="D220" s="4">
        <v>2.9737752109346953</v>
      </c>
      <c r="E220" s="2">
        <f t="shared" si="0"/>
        <v>20.686041152802119</v>
      </c>
      <c r="F220" s="2">
        <f t="shared" si="1"/>
        <v>74.344380273367378</v>
      </c>
      <c r="G220" s="2">
        <f t="shared" si="2"/>
        <v>53.658339120565259</v>
      </c>
      <c r="H220" s="2">
        <f t="shared" si="3"/>
        <v>95.030421426169497</v>
      </c>
      <c r="I220" s="1">
        <v>0</v>
      </c>
    </row>
    <row r="221" spans="1:9" ht="14.25" customHeight="1" x14ac:dyDescent="0.35">
      <c r="A221" s="1">
        <v>612</v>
      </c>
      <c r="B221" s="4">
        <v>2.9621946476247829</v>
      </c>
      <c r="C221" s="5">
        <v>24.241899694726765</v>
      </c>
      <c r="D221" s="4">
        <v>0.94691978123761955</v>
      </c>
      <c r="E221" s="2">
        <f t="shared" si="0"/>
        <v>6.0604749236816913</v>
      </c>
      <c r="F221" s="2">
        <f t="shared" si="1"/>
        <v>23.672994530940489</v>
      </c>
      <c r="G221" s="2">
        <f t="shared" si="2"/>
        <v>17.612519607258797</v>
      </c>
      <c r="H221" s="2">
        <f t="shared" si="3"/>
        <v>29.733469454622181</v>
      </c>
      <c r="I221" s="1">
        <v>0</v>
      </c>
    </row>
    <row r="222" spans="1:9" ht="14.25" customHeight="1" x14ac:dyDescent="0.35">
      <c r="A222" s="1">
        <v>615</v>
      </c>
      <c r="B222" s="4">
        <v>2.874076141842826</v>
      </c>
      <c r="C222" s="5">
        <v>36.801063606443776</v>
      </c>
      <c r="D222" s="4">
        <v>1.7435294005756401</v>
      </c>
      <c r="E222" s="2">
        <f t="shared" si="0"/>
        <v>9.200265901610944</v>
      </c>
      <c r="F222" s="2">
        <f t="shared" si="1"/>
        <v>43.588235014391003</v>
      </c>
      <c r="G222" s="2">
        <f t="shared" si="2"/>
        <v>34.387969112780056</v>
      </c>
      <c r="H222" s="2">
        <f t="shared" si="3"/>
        <v>52.788500916001951</v>
      </c>
      <c r="I222" s="1">
        <v>1</v>
      </c>
    </row>
    <row r="223" spans="1:9" ht="14.25" customHeight="1" x14ac:dyDescent="0.35">
      <c r="A223" s="1">
        <v>616</v>
      </c>
      <c r="B223" s="4">
        <v>3.7358702912983857</v>
      </c>
      <c r="C223" s="5">
        <v>46.47471706167736</v>
      </c>
      <c r="D223" s="4">
        <v>1.9513982144958901</v>
      </c>
      <c r="E223" s="2">
        <f t="shared" si="0"/>
        <v>11.61867926541934</v>
      </c>
      <c r="F223" s="2">
        <f t="shared" si="1"/>
        <v>48.784955362397255</v>
      </c>
      <c r="G223" s="2">
        <f t="shared" si="2"/>
        <v>37.166276096977917</v>
      </c>
      <c r="H223" s="2">
        <f t="shared" si="3"/>
        <v>60.403634627816594</v>
      </c>
      <c r="I223" s="1">
        <v>0</v>
      </c>
    </row>
    <row r="224" spans="1:9" ht="14.25" customHeight="1" x14ac:dyDescent="0.35">
      <c r="A224" s="1">
        <v>617</v>
      </c>
      <c r="B224" s="4">
        <v>2.3678668591491849</v>
      </c>
      <c r="C224" s="5">
        <v>67.950210726920147</v>
      </c>
      <c r="D224" s="4">
        <v>1.4095983863444823</v>
      </c>
      <c r="E224" s="2">
        <f t="shared" si="0"/>
        <v>16.987552681730037</v>
      </c>
      <c r="F224" s="2">
        <f t="shared" si="1"/>
        <v>35.239959658612058</v>
      </c>
      <c r="G224" s="2">
        <f t="shared" si="2"/>
        <v>18.252406976882021</v>
      </c>
      <c r="H224" s="2">
        <f t="shared" si="3"/>
        <v>52.227512340342095</v>
      </c>
      <c r="I224" s="1">
        <v>0</v>
      </c>
    </row>
    <row r="225" spans="1:9" ht="14.25" customHeight="1" x14ac:dyDescent="0.35">
      <c r="A225" s="1">
        <v>618</v>
      </c>
      <c r="B225" s="4">
        <v>1.9363829889535311</v>
      </c>
      <c r="C225" s="5">
        <v>89.519498797185008</v>
      </c>
      <c r="D225" s="4">
        <v>0.99037553406235113</v>
      </c>
      <c r="E225" s="2">
        <f t="shared" si="0"/>
        <v>22.379874699296252</v>
      </c>
      <c r="F225" s="2">
        <f t="shared" si="1"/>
        <v>24.75938835155878</v>
      </c>
      <c r="G225" s="2">
        <f t="shared" si="2"/>
        <v>2.3795136522625278</v>
      </c>
      <c r="H225" s="2">
        <f t="shared" si="3"/>
        <v>47.139263050855035</v>
      </c>
      <c r="I225" s="1">
        <v>0</v>
      </c>
    </row>
    <row r="226" spans="1:9" ht="14.25" customHeight="1" x14ac:dyDescent="0.35">
      <c r="A226" s="1">
        <v>623</v>
      </c>
      <c r="B226" s="4">
        <v>3.1004017666829631</v>
      </c>
      <c r="C226" s="5">
        <v>19.699325486391615</v>
      </c>
      <c r="D226" s="4">
        <v>1.0853579594993954</v>
      </c>
      <c r="E226" s="2">
        <f t="shared" si="0"/>
        <v>4.9248313715979037</v>
      </c>
      <c r="F226" s="2">
        <f t="shared" si="1"/>
        <v>27.133948987484885</v>
      </c>
      <c r="G226" s="2">
        <f t="shared" si="2"/>
        <v>22.209117615886981</v>
      </c>
      <c r="H226" s="2">
        <f t="shared" si="3"/>
        <v>32.058780359082789</v>
      </c>
      <c r="I226" s="1">
        <v>0</v>
      </c>
    </row>
    <row r="227" spans="1:9" ht="14.25" customHeight="1" x14ac:dyDescent="0.35">
      <c r="A227" s="1">
        <v>627</v>
      </c>
      <c r="B227" s="4">
        <v>3.7651571273749482</v>
      </c>
      <c r="C227" s="5">
        <v>80.822747481037823</v>
      </c>
      <c r="D227" s="4">
        <v>2.4989221908616703</v>
      </c>
      <c r="E227" s="2">
        <f t="shared" si="0"/>
        <v>20.205686870259456</v>
      </c>
      <c r="F227" s="2">
        <f t="shared" si="1"/>
        <v>62.473054771541761</v>
      </c>
      <c r="G227" s="2">
        <f t="shared" si="2"/>
        <v>42.267367901282306</v>
      </c>
      <c r="H227" s="2">
        <f t="shared" si="3"/>
        <v>82.678741641801224</v>
      </c>
      <c r="I227" s="1">
        <v>1</v>
      </c>
    </row>
    <row r="228" spans="1:9" ht="14.25" customHeight="1" x14ac:dyDescent="0.35">
      <c r="A228" s="1">
        <v>631</v>
      </c>
      <c r="B228" s="4">
        <v>9.4227545758652536</v>
      </c>
      <c r="C228" s="5">
        <v>0.40188261642927214</v>
      </c>
      <c r="D228" s="4">
        <v>2.0276600868965624</v>
      </c>
      <c r="E228" s="2">
        <f t="shared" si="0"/>
        <v>0.10047065410731804</v>
      </c>
      <c r="F228" s="2">
        <f t="shared" si="1"/>
        <v>50.691502172414062</v>
      </c>
      <c r="G228" s="2">
        <f t="shared" si="2"/>
        <v>50.591031518306742</v>
      </c>
      <c r="H228" s="2">
        <f t="shared" si="3"/>
        <v>50.791972826521381</v>
      </c>
      <c r="I228" s="1">
        <v>0</v>
      </c>
    </row>
    <row r="229" spans="1:9" ht="14.25" customHeight="1" x14ac:dyDescent="0.35">
      <c r="A229" s="1">
        <v>633</v>
      </c>
      <c r="B229" s="4">
        <v>3.3668647998093402</v>
      </c>
      <c r="C229" s="5">
        <v>48.392565898159553</v>
      </c>
      <c r="D229" s="4">
        <v>1.8762014902635056</v>
      </c>
      <c r="E229" s="2">
        <f t="shared" si="0"/>
        <v>12.098141474539888</v>
      </c>
      <c r="F229" s="2">
        <f t="shared" si="1"/>
        <v>46.90503725658764</v>
      </c>
      <c r="G229" s="2">
        <f t="shared" si="2"/>
        <v>34.806895782047754</v>
      </c>
      <c r="H229" s="2">
        <f t="shared" si="3"/>
        <v>59.003178731127527</v>
      </c>
      <c r="I229" s="1">
        <v>0</v>
      </c>
    </row>
    <row r="230" spans="1:9" ht="14.25" customHeight="1" x14ac:dyDescent="0.35">
      <c r="A230" s="1">
        <v>634</v>
      </c>
      <c r="B230" s="4">
        <v>3.2000780254935224</v>
      </c>
      <c r="C230" s="5">
        <v>22.920349102953708</v>
      </c>
      <c r="D230" s="4">
        <v>0.97187447180634146</v>
      </c>
      <c r="E230" s="2">
        <f t="shared" si="0"/>
        <v>5.7300872757384269</v>
      </c>
      <c r="F230" s="2">
        <f t="shared" si="1"/>
        <v>24.296861795158538</v>
      </c>
      <c r="G230" s="2">
        <f t="shared" si="2"/>
        <v>18.566774519420111</v>
      </c>
      <c r="H230" s="2">
        <f t="shared" si="3"/>
        <v>30.026949070896965</v>
      </c>
      <c r="I230" s="1">
        <v>0</v>
      </c>
    </row>
    <row r="231" spans="1:9" ht="14.25" customHeight="1" x14ac:dyDescent="0.35">
      <c r="A231" s="1">
        <v>636</v>
      </c>
      <c r="B231" s="4">
        <v>0.85906094707500658</v>
      </c>
      <c r="C231" s="5">
        <v>53.184896424459929</v>
      </c>
      <c r="D231" s="4">
        <v>0.58910552497746771</v>
      </c>
      <c r="E231" s="2">
        <f t="shared" si="0"/>
        <v>13.296224106114982</v>
      </c>
      <c r="F231" s="2">
        <f t="shared" si="1"/>
        <v>14.727638124436693</v>
      </c>
      <c r="G231" s="2">
        <f t="shared" si="2"/>
        <v>1.4314140183217106</v>
      </c>
      <c r="H231" s="2">
        <f t="shared" si="3"/>
        <v>28.023862230551675</v>
      </c>
      <c r="I231" s="1">
        <v>0</v>
      </c>
    </row>
    <row r="232" spans="1:9" ht="14.25" customHeight="1" x14ac:dyDescent="0.35">
      <c r="A232" s="1">
        <v>642</v>
      </c>
      <c r="B232" s="4">
        <v>6.4951266980526849</v>
      </c>
      <c r="C232" s="5">
        <v>0.85461864823491718</v>
      </c>
      <c r="D232" s="4">
        <v>1.0789884556055376</v>
      </c>
      <c r="E232" s="2">
        <f t="shared" si="0"/>
        <v>0.21365466205872929</v>
      </c>
      <c r="F232" s="2">
        <f t="shared" si="1"/>
        <v>26.974711390138438</v>
      </c>
      <c r="G232" s="2">
        <f t="shared" si="2"/>
        <v>26.761056728079708</v>
      </c>
      <c r="H232" s="2">
        <f t="shared" si="3"/>
        <v>27.188366052197168</v>
      </c>
      <c r="I232" s="1">
        <v>0</v>
      </c>
    </row>
    <row r="233" spans="1:9" ht="14.25" customHeight="1" x14ac:dyDescent="0.35">
      <c r="A233" s="1">
        <v>645</v>
      </c>
      <c r="B233" s="4">
        <v>1.2972400220780678</v>
      </c>
      <c r="C233" s="5">
        <v>63.737304345284294</v>
      </c>
      <c r="D233" s="4">
        <v>1.6241973059225863</v>
      </c>
      <c r="E233" s="2">
        <f t="shared" si="0"/>
        <v>15.934326086321073</v>
      </c>
      <c r="F233" s="2">
        <f t="shared" si="1"/>
        <v>40.604932648064654</v>
      </c>
      <c r="G233" s="2">
        <f t="shared" si="2"/>
        <v>24.670606561743583</v>
      </c>
      <c r="H233" s="2">
        <f t="shared" si="3"/>
        <v>56.539258734385726</v>
      </c>
      <c r="I233" s="1">
        <v>1</v>
      </c>
    </row>
    <row r="234" spans="1:9" ht="14.25" customHeight="1" x14ac:dyDescent="0.35">
      <c r="A234" s="1">
        <v>648</v>
      </c>
      <c r="B234" s="4">
        <v>2.6131679459326316</v>
      </c>
      <c r="C234" s="5">
        <v>57.86929089629249</v>
      </c>
      <c r="D234" s="4">
        <v>2.3722991685548656</v>
      </c>
      <c r="E234" s="2">
        <f t="shared" si="0"/>
        <v>14.467322724073123</v>
      </c>
      <c r="F234" s="2">
        <f t="shared" si="1"/>
        <v>59.307479213871638</v>
      </c>
      <c r="G234" s="2">
        <f t="shared" si="2"/>
        <v>44.840156489798517</v>
      </c>
      <c r="H234" s="2">
        <f t="shared" si="3"/>
        <v>73.774801937944758</v>
      </c>
      <c r="I234" s="1">
        <v>1</v>
      </c>
    </row>
    <row r="235" spans="1:9" ht="14.25" customHeight="1" x14ac:dyDescent="0.35">
      <c r="A235" s="1">
        <v>649</v>
      </c>
      <c r="B235" s="4">
        <v>0.68871750558282541</v>
      </c>
      <c r="C235" s="5">
        <v>45.488672607625766</v>
      </c>
      <c r="D235" s="4">
        <v>2.5061875354610734</v>
      </c>
      <c r="E235" s="2">
        <f t="shared" si="0"/>
        <v>11.372168151906441</v>
      </c>
      <c r="F235" s="2">
        <f t="shared" si="1"/>
        <v>62.654688386526836</v>
      </c>
      <c r="G235" s="2">
        <f t="shared" si="2"/>
        <v>51.282520234620392</v>
      </c>
      <c r="H235" s="2">
        <f t="shared" si="3"/>
        <v>74.026856538433279</v>
      </c>
      <c r="I235" s="1">
        <v>1</v>
      </c>
    </row>
    <row r="236" spans="1:9" ht="14.25" customHeight="1" x14ac:dyDescent="0.35">
      <c r="A236" s="1">
        <v>651</v>
      </c>
      <c r="B236" s="4">
        <v>4.4233048154916244</v>
      </c>
      <c r="C236" s="5">
        <v>45.662641339681144</v>
      </c>
      <c r="D236" s="4">
        <v>2.5845324024900549</v>
      </c>
      <c r="E236" s="2">
        <f t="shared" si="0"/>
        <v>11.415660334920286</v>
      </c>
      <c r="F236" s="2">
        <f t="shared" si="1"/>
        <v>64.613310062251372</v>
      </c>
      <c r="G236" s="2">
        <f t="shared" si="2"/>
        <v>53.197649727331083</v>
      </c>
      <c r="H236" s="2">
        <f t="shared" si="3"/>
        <v>76.028970397171662</v>
      </c>
      <c r="I236" s="1">
        <v>1</v>
      </c>
    </row>
    <row r="237" spans="1:9" ht="14.25" customHeight="1" x14ac:dyDescent="0.35">
      <c r="A237" s="1">
        <v>655</v>
      </c>
      <c r="B237" s="4">
        <v>2.8162687031453326</v>
      </c>
      <c r="C237" s="5">
        <v>72.832155579275053</v>
      </c>
      <c r="D237" s="4">
        <v>2.3391197770865815</v>
      </c>
      <c r="E237" s="2">
        <f t="shared" si="0"/>
        <v>18.208038894818763</v>
      </c>
      <c r="F237" s="2">
        <f t="shared" si="1"/>
        <v>58.477994427164539</v>
      </c>
      <c r="G237" s="2">
        <f t="shared" si="2"/>
        <v>40.269955532345776</v>
      </c>
      <c r="H237" s="2">
        <f t="shared" si="3"/>
        <v>76.686033321983302</v>
      </c>
      <c r="I237" s="1">
        <v>1</v>
      </c>
    </row>
    <row r="238" spans="1:9" ht="14.25" customHeight="1" x14ac:dyDescent="0.35">
      <c r="A238" s="1">
        <v>656</v>
      </c>
      <c r="B238" s="4">
        <v>2.7117146779412584</v>
      </c>
      <c r="C238" s="5">
        <v>49.90426920645212</v>
      </c>
      <c r="D238" s="4">
        <v>2.3179198680168245</v>
      </c>
      <c r="E238" s="2">
        <f t="shared" si="0"/>
        <v>12.47606730161303</v>
      </c>
      <c r="F238" s="2">
        <f t="shared" si="1"/>
        <v>57.94799670042061</v>
      </c>
      <c r="G238" s="2">
        <f t="shared" si="2"/>
        <v>45.471929398807582</v>
      </c>
      <c r="H238" s="2">
        <f t="shared" si="3"/>
        <v>70.424064002033646</v>
      </c>
      <c r="I238" s="1">
        <v>1</v>
      </c>
    </row>
    <row r="239" spans="1:9" ht="14.25" customHeight="1" x14ac:dyDescent="0.35">
      <c r="A239" s="1">
        <v>658</v>
      </c>
      <c r="B239" s="4">
        <v>2.334506453224753</v>
      </c>
      <c r="C239" s="5">
        <v>39.237940108571877</v>
      </c>
      <c r="D239" s="4">
        <v>1.3135538257736477</v>
      </c>
      <c r="E239" s="2">
        <f t="shared" si="0"/>
        <v>9.8094850271429692</v>
      </c>
      <c r="F239" s="2">
        <f t="shared" si="1"/>
        <v>32.838845644341191</v>
      </c>
      <c r="G239" s="2">
        <f t="shared" si="2"/>
        <v>23.029360617198222</v>
      </c>
      <c r="H239" s="2">
        <f t="shared" si="3"/>
        <v>42.64833067148416</v>
      </c>
      <c r="I239" s="1">
        <v>0</v>
      </c>
    </row>
    <row r="240" spans="1:9" ht="14.25" customHeight="1" x14ac:dyDescent="0.35">
      <c r="A240" s="1">
        <v>660</v>
      </c>
      <c r="B240" s="4">
        <v>3.8837953812258821</v>
      </c>
      <c r="C240" s="5">
        <v>0.94528438426614292</v>
      </c>
      <c r="D240" s="4">
        <v>0.58399869740730492</v>
      </c>
      <c r="E240" s="2">
        <f t="shared" si="0"/>
        <v>0.23632109606653573</v>
      </c>
      <c r="F240" s="2">
        <f t="shared" si="1"/>
        <v>14.599967435182624</v>
      </c>
      <c r="G240" s="2">
        <f t="shared" si="2"/>
        <v>14.363646339116087</v>
      </c>
      <c r="H240" s="2">
        <f t="shared" si="3"/>
        <v>14.83628853124916</v>
      </c>
      <c r="I240" s="1">
        <v>0</v>
      </c>
    </row>
    <row r="241" spans="1:9" ht="14.25" customHeight="1" x14ac:dyDescent="0.35">
      <c r="A241" s="1">
        <v>664</v>
      </c>
      <c r="B241" s="4">
        <v>3.0188261566051757</v>
      </c>
      <c r="C241" s="5">
        <v>75.737083959413738</v>
      </c>
      <c r="D241" s="4">
        <v>0.74962039381158352</v>
      </c>
      <c r="E241" s="2">
        <f t="shared" si="0"/>
        <v>18.934270989853434</v>
      </c>
      <c r="F241" s="2">
        <f t="shared" si="1"/>
        <v>18.740509845289587</v>
      </c>
      <c r="G241" s="2">
        <f t="shared" si="2"/>
        <v>-0.19376114456384741</v>
      </c>
      <c r="H241" s="2">
        <f t="shared" si="3"/>
        <v>37.674780835143025</v>
      </c>
      <c r="I241" s="1">
        <v>0</v>
      </c>
    </row>
    <row r="242" spans="1:9" ht="14.25" customHeight="1" x14ac:dyDescent="0.35">
      <c r="A242" s="1">
        <v>666</v>
      </c>
      <c r="B242" s="4">
        <v>4.820234794182813</v>
      </c>
      <c r="C242" s="5">
        <v>4.6288503330777058</v>
      </c>
      <c r="D242" s="4">
        <v>0.4424648313981121</v>
      </c>
      <c r="E242" s="2">
        <f t="shared" si="0"/>
        <v>1.1572125832694264</v>
      </c>
      <c r="F242" s="2">
        <f t="shared" si="1"/>
        <v>11.061620784952803</v>
      </c>
      <c r="G242" s="2">
        <f t="shared" si="2"/>
        <v>9.9044082016833759</v>
      </c>
      <c r="H242" s="2">
        <f t="shared" si="3"/>
        <v>12.21883336822223</v>
      </c>
      <c r="I242" s="1">
        <v>0</v>
      </c>
    </row>
    <row r="243" spans="1:9" ht="14.25" customHeight="1" x14ac:dyDescent="0.35">
      <c r="A243" s="1">
        <v>671</v>
      </c>
      <c r="B243" s="4">
        <v>3.7566641688152158</v>
      </c>
      <c r="C243" s="5">
        <v>44.515361427733424</v>
      </c>
      <c r="D243" s="4">
        <v>2.2960215203133711</v>
      </c>
      <c r="E243" s="2">
        <f t="shared" si="0"/>
        <v>11.128840356933356</v>
      </c>
      <c r="F243" s="2">
        <f t="shared" si="1"/>
        <v>57.400538007834278</v>
      </c>
      <c r="G243" s="2">
        <f t="shared" si="2"/>
        <v>46.271697650900919</v>
      </c>
      <c r="H243" s="2">
        <f t="shared" si="3"/>
        <v>68.529378364767638</v>
      </c>
      <c r="I243" s="1">
        <v>1</v>
      </c>
    </row>
    <row r="244" spans="1:9" ht="14.25" customHeight="1" x14ac:dyDescent="0.35">
      <c r="A244" s="1">
        <v>672</v>
      </c>
      <c r="B244" s="4">
        <v>2.8647528313665784</v>
      </c>
      <c r="C244" s="5">
        <v>7.8910227000544069</v>
      </c>
      <c r="D244" s="4">
        <v>0.51807171740766522</v>
      </c>
      <c r="E244" s="2">
        <f t="shared" si="0"/>
        <v>1.9727556750136017</v>
      </c>
      <c r="F244" s="2">
        <f t="shared" si="1"/>
        <v>12.95179293519163</v>
      </c>
      <c r="G244" s="2">
        <f t="shared" si="2"/>
        <v>10.979037260178028</v>
      </c>
      <c r="H244" s="2">
        <f t="shared" si="3"/>
        <v>14.924548610205232</v>
      </c>
      <c r="I244" s="1">
        <v>0</v>
      </c>
    </row>
    <row r="245" spans="1:9" ht="14.25" customHeight="1" x14ac:dyDescent="0.35">
      <c r="A245" s="1">
        <v>673</v>
      </c>
      <c r="B245" s="4">
        <v>3.1670365844159507</v>
      </c>
      <c r="C245" s="5">
        <v>21.377246885523416</v>
      </c>
      <c r="D245" s="4">
        <v>0.70046466229124305</v>
      </c>
      <c r="E245" s="2">
        <f t="shared" si="0"/>
        <v>5.344311721380854</v>
      </c>
      <c r="F245" s="2">
        <f t="shared" si="1"/>
        <v>17.511616557281076</v>
      </c>
      <c r="G245" s="2">
        <f t="shared" si="2"/>
        <v>12.167304835900222</v>
      </c>
      <c r="H245" s="2">
        <f t="shared" si="3"/>
        <v>22.855928278661931</v>
      </c>
      <c r="I245" s="1">
        <v>0</v>
      </c>
    </row>
    <row r="246" spans="1:9" ht="14.25" customHeight="1" x14ac:dyDescent="0.35">
      <c r="A246" s="1">
        <v>676</v>
      </c>
      <c r="B246" s="4">
        <v>8.336932961903079</v>
      </c>
      <c r="C246" s="5">
        <v>6.3872650819654542</v>
      </c>
      <c r="D246" s="4">
        <v>2.2911526150144899</v>
      </c>
      <c r="E246" s="2">
        <f t="shared" si="0"/>
        <v>1.5968162704913635</v>
      </c>
      <c r="F246" s="2">
        <f t="shared" si="1"/>
        <v>57.27881537536225</v>
      </c>
      <c r="G246" s="2">
        <f t="shared" si="2"/>
        <v>55.681999104870883</v>
      </c>
      <c r="H246" s="2">
        <f t="shared" si="3"/>
        <v>58.875631645853616</v>
      </c>
      <c r="I246" s="1">
        <v>0</v>
      </c>
    </row>
    <row r="247" spans="1:9" ht="14.25" customHeight="1" x14ac:dyDescent="0.35">
      <c r="A247" s="1">
        <v>680</v>
      </c>
      <c r="B247" s="4">
        <v>1.4747400412709999</v>
      </c>
      <c r="C247" s="5">
        <v>44.543248033680769</v>
      </c>
      <c r="D247" s="4">
        <v>0.87520140195711849</v>
      </c>
      <c r="E247" s="2">
        <f t="shared" si="0"/>
        <v>11.135812008420192</v>
      </c>
      <c r="F247" s="2">
        <f t="shared" si="1"/>
        <v>21.880035048927962</v>
      </c>
      <c r="G247" s="2">
        <f t="shared" si="2"/>
        <v>10.744223040507769</v>
      </c>
      <c r="H247" s="2">
        <f t="shared" si="3"/>
        <v>33.015847057348154</v>
      </c>
      <c r="I247" s="1">
        <v>0</v>
      </c>
    </row>
    <row r="248" spans="1:9" ht="14.25" customHeight="1" x14ac:dyDescent="0.35">
      <c r="A248" s="1">
        <v>684</v>
      </c>
      <c r="B248" s="4">
        <v>7.1141737071219975</v>
      </c>
      <c r="C248" s="5">
        <v>68.710833701690262</v>
      </c>
      <c r="D248" s="4">
        <v>3.0868650913824767</v>
      </c>
      <c r="E248" s="2">
        <f t="shared" si="0"/>
        <v>17.177708425422566</v>
      </c>
      <c r="F248" s="2">
        <f t="shared" si="1"/>
        <v>77.171627284561922</v>
      </c>
      <c r="G248" s="2">
        <f t="shared" si="2"/>
        <v>59.993918859139356</v>
      </c>
      <c r="H248" s="2">
        <f t="shared" si="3"/>
        <v>94.349335709984487</v>
      </c>
      <c r="I248" s="1">
        <v>0</v>
      </c>
    </row>
    <row r="249" spans="1:9" ht="14.25" customHeight="1" x14ac:dyDescent="0.35">
      <c r="A249" s="1">
        <v>685</v>
      </c>
      <c r="B249" s="4">
        <v>6.3549319708390017</v>
      </c>
      <c r="C249" s="5">
        <v>5.5178734245572514</v>
      </c>
      <c r="D249" s="4">
        <v>0.39773463445090063</v>
      </c>
      <c r="E249" s="2">
        <f t="shared" si="0"/>
        <v>1.3794683561393128</v>
      </c>
      <c r="F249" s="2">
        <f t="shared" si="1"/>
        <v>9.9433658612725164</v>
      </c>
      <c r="G249" s="2">
        <f t="shared" si="2"/>
        <v>8.5638975051332036</v>
      </c>
      <c r="H249" s="2">
        <f t="shared" si="3"/>
        <v>11.322834217411829</v>
      </c>
      <c r="I249" s="1">
        <v>0</v>
      </c>
    </row>
    <row r="250" spans="1:9" ht="14.25" customHeight="1" x14ac:dyDescent="0.35">
      <c r="A250" s="1">
        <v>688</v>
      </c>
      <c r="B250" s="4">
        <v>8.1679263733362717</v>
      </c>
      <c r="C250" s="5">
        <v>6.1620639586377539</v>
      </c>
      <c r="D250" s="4">
        <v>1.9064284298780265</v>
      </c>
      <c r="E250" s="2">
        <f t="shared" si="0"/>
        <v>1.5405159896594385</v>
      </c>
      <c r="F250" s="2">
        <f t="shared" si="1"/>
        <v>47.660710746950663</v>
      </c>
      <c r="G250" s="2">
        <f t="shared" si="2"/>
        <v>46.120194757291223</v>
      </c>
      <c r="H250" s="2">
        <f t="shared" si="3"/>
        <v>49.201226736610103</v>
      </c>
      <c r="I250" s="1">
        <v>0</v>
      </c>
    </row>
    <row r="251" spans="1:9" ht="14.25" customHeight="1" x14ac:dyDescent="0.35">
      <c r="A251" s="1">
        <v>689</v>
      </c>
      <c r="B251" s="4">
        <v>2.7161772713823771</v>
      </c>
      <c r="C251" s="5">
        <v>64.22142235538017</v>
      </c>
      <c r="D251" s="4">
        <v>0.88413471951982647</v>
      </c>
      <c r="E251" s="2">
        <f t="shared" si="0"/>
        <v>16.055355588845043</v>
      </c>
      <c r="F251" s="2">
        <f t="shared" si="1"/>
        <v>22.103367987995661</v>
      </c>
      <c r="G251" s="2">
        <f t="shared" si="2"/>
        <v>6.0480123991506183</v>
      </c>
      <c r="H251" s="2">
        <f t="shared" si="3"/>
        <v>38.1587235768407</v>
      </c>
      <c r="I251" s="1">
        <v>0</v>
      </c>
    </row>
    <row r="252" spans="1:9" ht="14.25" customHeight="1" x14ac:dyDescent="0.35">
      <c r="A252" s="1">
        <v>693</v>
      </c>
      <c r="B252" s="4">
        <v>2.9255186929531085</v>
      </c>
      <c r="C252" s="5">
        <v>53.087297456661162</v>
      </c>
      <c r="D252" s="4">
        <v>2.5814909006531979</v>
      </c>
      <c r="E252" s="2">
        <f t="shared" si="0"/>
        <v>13.27182436416529</v>
      </c>
      <c r="F252" s="2">
        <f t="shared" si="1"/>
        <v>64.537272516329949</v>
      </c>
      <c r="G252" s="2">
        <f t="shared" si="2"/>
        <v>51.265448152164659</v>
      </c>
      <c r="H252" s="2">
        <f t="shared" si="3"/>
        <v>77.809096880495247</v>
      </c>
      <c r="I252" s="1">
        <v>1</v>
      </c>
    </row>
    <row r="253" spans="1:9" ht="14.25" customHeight="1" x14ac:dyDescent="0.35">
      <c r="A253" s="1">
        <v>694</v>
      </c>
      <c r="B253" s="4">
        <v>4.4021299494481658</v>
      </c>
      <c r="C253" s="5">
        <v>0.77570718048357579</v>
      </c>
      <c r="D253" s="4">
        <v>1.2827961635220351</v>
      </c>
      <c r="E253" s="2">
        <f t="shared" si="0"/>
        <v>0.19392679512089395</v>
      </c>
      <c r="F253" s="2">
        <f t="shared" si="1"/>
        <v>32.069904088050876</v>
      </c>
      <c r="G253" s="2">
        <f t="shared" si="2"/>
        <v>31.875977292929981</v>
      </c>
      <c r="H253" s="2">
        <f t="shared" si="3"/>
        <v>32.263830883171771</v>
      </c>
      <c r="I253" s="1">
        <v>0</v>
      </c>
    </row>
    <row r="254" spans="1:9" ht="14.25" customHeight="1" x14ac:dyDescent="0.35">
      <c r="A254" s="1">
        <v>696</v>
      </c>
      <c r="B254" s="4">
        <v>1.1412266513580283</v>
      </c>
      <c r="C254" s="5">
        <v>52.487311847826554</v>
      </c>
      <c r="D254" s="4">
        <v>1.2724100865354881</v>
      </c>
      <c r="E254" s="2">
        <f t="shared" si="0"/>
        <v>13.121827961956638</v>
      </c>
      <c r="F254" s="2">
        <f t="shared" si="1"/>
        <v>31.810252163387204</v>
      </c>
      <c r="G254" s="2">
        <f t="shared" si="2"/>
        <v>18.688424201430564</v>
      </c>
      <c r="H254" s="2">
        <f t="shared" si="3"/>
        <v>44.932080125343845</v>
      </c>
      <c r="I254" s="1">
        <v>1</v>
      </c>
    </row>
    <row r="255" spans="1:9" ht="14.25" customHeight="1" x14ac:dyDescent="0.35">
      <c r="A255" s="1">
        <v>697</v>
      </c>
      <c r="B255" s="4">
        <v>9.5989039155543345</v>
      </c>
      <c r="C255" s="5">
        <v>0.17494846771503036</v>
      </c>
      <c r="D255" s="4">
        <v>2.6995400017259548</v>
      </c>
      <c r="E255" s="2">
        <f t="shared" si="0"/>
        <v>4.3737116928757591E-2</v>
      </c>
      <c r="F255" s="2">
        <f t="shared" si="1"/>
        <v>67.488500043148875</v>
      </c>
      <c r="G255" s="2">
        <f t="shared" si="2"/>
        <v>67.444762926220122</v>
      </c>
      <c r="H255" s="2">
        <f t="shared" si="3"/>
        <v>67.532237160077628</v>
      </c>
      <c r="I255" s="1">
        <v>0</v>
      </c>
    </row>
    <row r="256" spans="1:9" ht="14.25" customHeight="1" x14ac:dyDescent="0.35">
      <c r="A256" s="1">
        <v>699</v>
      </c>
      <c r="B256" s="4">
        <v>1.6246667550754856</v>
      </c>
      <c r="C256" s="5">
        <v>5.280976264994508</v>
      </c>
      <c r="D256" s="4">
        <v>1.1087132762950658</v>
      </c>
      <c r="E256" s="2">
        <f t="shared" si="0"/>
        <v>1.320244066248627</v>
      </c>
      <c r="F256" s="2">
        <f t="shared" si="1"/>
        <v>27.717831907376645</v>
      </c>
      <c r="G256" s="2">
        <f t="shared" si="2"/>
        <v>26.397587841128018</v>
      </c>
      <c r="H256" s="2">
        <f t="shared" si="3"/>
        <v>29.038075973625272</v>
      </c>
      <c r="I256" s="1">
        <v>1</v>
      </c>
    </row>
    <row r="257" spans="1:9" ht="14.25" customHeight="1" x14ac:dyDescent="0.35">
      <c r="A257" s="1">
        <v>707</v>
      </c>
      <c r="B257" s="4">
        <v>0.42070180467416507</v>
      </c>
      <c r="C257" s="5">
        <v>90.364466751957792</v>
      </c>
      <c r="D257" s="4">
        <v>0.68573498692666646</v>
      </c>
      <c r="E257" s="2">
        <f t="shared" si="0"/>
        <v>22.591116687989448</v>
      </c>
      <c r="F257" s="2">
        <f t="shared" si="1"/>
        <v>17.143374673166662</v>
      </c>
      <c r="G257" s="2">
        <f t="shared" si="2"/>
        <v>-5.4477420148227864</v>
      </c>
      <c r="H257" s="2">
        <f t="shared" si="3"/>
        <v>39.73449136115611</v>
      </c>
      <c r="I257" s="1">
        <v>0</v>
      </c>
    </row>
    <row r="258" spans="1:9" ht="14.25" customHeight="1" x14ac:dyDescent="0.35">
      <c r="A258" s="1">
        <v>711</v>
      </c>
      <c r="B258" s="4">
        <v>9.8150844063647096</v>
      </c>
      <c r="C258" s="5">
        <v>2.1164708274342026</v>
      </c>
      <c r="D258" s="4">
        <v>2.3448280124609453</v>
      </c>
      <c r="E258" s="2">
        <f t="shared" si="0"/>
        <v>0.52911770685855064</v>
      </c>
      <c r="F258" s="2">
        <f t="shared" si="1"/>
        <v>58.620700311523635</v>
      </c>
      <c r="G258" s="2">
        <f t="shared" si="2"/>
        <v>58.091582604665085</v>
      </c>
      <c r="H258" s="2">
        <f t="shared" si="3"/>
        <v>59.149818018382184</v>
      </c>
      <c r="I258" s="1">
        <v>0</v>
      </c>
    </row>
    <row r="259" spans="1:9" ht="14.25" customHeight="1" x14ac:dyDescent="0.35">
      <c r="A259" s="1">
        <v>712</v>
      </c>
      <c r="B259" s="4">
        <v>2.8413064697717907</v>
      </c>
      <c r="C259" s="5">
        <v>41.017372640113578</v>
      </c>
      <c r="D259" s="4">
        <v>0.98403739444487459</v>
      </c>
      <c r="E259" s="2">
        <f t="shared" si="0"/>
        <v>10.254343160028395</v>
      </c>
      <c r="F259" s="2">
        <f t="shared" si="1"/>
        <v>24.600934861121864</v>
      </c>
      <c r="G259" s="2">
        <f t="shared" si="2"/>
        <v>14.34659170109347</v>
      </c>
      <c r="H259" s="2">
        <f t="shared" si="3"/>
        <v>34.855278021150255</v>
      </c>
      <c r="I259" s="1">
        <v>0</v>
      </c>
    </row>
    <row r="260" spans="1:9" ht="14.25" customHeight="1" x14ac:dyDescent="0.35">
      <c r="A260" s="1">
        <v>715</v>
      </c>
      <c r="B260" s="4">
        <v>3.2865315631582579</v>
      </c>
      <c r="C260" s="5">
        <v>70.207863196955302</v>
      </c>
      <c r="D260" s="4">
        <v>1.4070342538151359</v>
      </c>
      <c r="E260" s="2">
        <f t="shared" ref="E260:E420" si="4">0.25*C260</f>
        <v>17.551965799238825</v>
      </c>
      <c r="F260" s="2">
        <f t="shared" ref="F260:F420" si="5">25*D260</f>
        <v>35.175856345378399</v>
      </c>
      <c r="G260" s="2">
        <f t="shared" ref="G260:G420" si="6">F260-E260</f>
        <v>17.623890546139574</v>
      </c>
      <c r="H260" s="2">
        <f t="shared" ref="H260:H420" si="7">E260+F260</f>
        <v>52.727822144617221</v>
      </c>
      <c r="I260" s="1">
        <v>0</v>
      </c>
    </row>
    <row r="261" spans="1:9" ht="14.25" customHeight="1" x14ac:dyDescent="0.35">
      <c r="A261" s="1">
        <v>718</v>
      </c>
      <c r="B261" s="4">
        <v>0.60515355112073177</v>
      </c>
      <c r="C261" s="5">
        <v>95.090251889881486</v>
      </c>
      <c r="D261" s="4">
        <v>0.65090810987158321</v>
      </c>
      <c r="E261" s="2">
        <f t="shared" si="4"/>
        <v>23.772562972470372</v>
      </c>
      <c r="F261" s="2">
        <f t="shared" si="5"/>
        <v>16.27270274678958</v>
      </c>
      <c r="G261" s="2">
        <f t="shared" si="6"/>
        <v>-7.4998602256807914</v>
      </c>
      <c r="H261" s="2">
        <f t="shared" si="7"/>
        <v>40.045265719259952</v>
      </c>
      <c r="I261" s="1">
        <v>0</v>
      </c>
    </row>
    <row r="262" spans="1:9" ht="14.25" customHeight="1" x14ac:dyDescent="0.35">
      <c r="A262" s="1">
        <v>719</v>
      </c>
      <c r="B262" s="4">
        <v>3.127348736843365</v>
      </c>
      <c r="C262" s="5">
        <v>56.383015412837544</v>
      </c>
      <c r="D262" s="4">
        <v>2.5667504424405436</v>
      </c>
      <c r="E262" s="2">
        <f t="shared" si="4"/>
        <v>14.095753853209386</v>
      </c>
      <c r="F262" s="2">
        <f t="shared" si="5"/>
        <v>64.168761061013583</v>
      </c>
      <c r="G262" s="2">
        <f t="shared" si="6"/>
        <v>50.073007207804196</v>
      </c>
      <c r="H262" s="2">
        <f t="shared" si="7"/>
        <v>78.264514914222971</v>
      </c>
      <c r="I262" s="1">
        <v>1</v>
      </c>
    </row>
    <row r="263" spans="1:9" ht="14.25" customHeight="1" x14ac:dyDescent="0.35">
      <c r="A263" s="1">
        <v>723</v>
      </c>
      <c r="B263" s="4">
        <v>3.2634114782301382</v>
      </c>
      <c r="C263" s="5">
        <v>82.425268446051433</v>
      </c>
      <c r="D263" s="4">
        <v>0.53737840539109127</v>
      </c>
      <c r="E263" s="2">
        <f t="shared" si="4"/>
        <v>20.606317111512858</v>
      </c>
      <c r="F263" s="2">
        <f t="shared" si="5"/>
        <v>13.434460134777282</v>
      </c>
      <c r="G263" s="2">
        <f t="shared" si="6"/>
        <v>-7.171856976735576</v>
      </c>
      <c r="H263" s="2">
        <f t="shared" si="7"/>
        <v>34.040777246290141</v>
      </c>
      <c r="I263" s="1">
        <v>0</v>
      </c>
    </row>
    <row r="264" spans="1:9" ht="14.25" customHeight="1" x14ac:dyDescent="0.35">
      <c r="A264" s="1">
        <v>727</v>
      </c>
      <c r="B264" s="4">
        <v>7.578015698568354</v>
      </c>
      <c r="C264" s="5">
        <v>1.0280641948749114</v>
      </c>
      <c r="D264" s="4">
        <v>1.9015549906132416</v>
      </c>
      <c r="E264" s="2">
        <f t="shared" si="4"/>
        <v>0.25701604871872785</v>
      </c>
      <c r="F264" s="2">
        <f t="shared" si="5"/>
        <v>47.538874765331038</v>
      </c>
      <c r="G264" s="2">
        <f t="shared" si="6"/>
        <v>47.281858716612312</v>
      </c>
      <c r="H264" s="2">
        <f t="shared" si="7"/>
        <v>47.795890814049763</v>
      </c>
      <c r="I264" s="1">
        <v>0</v>
      </c>
    </row>
    <row r="265" spans="1:9" ht="14.25" customHeight="1" x14ac:dyDescent="0.35">
      <c r="A265" s="1">
        <v>728</v>
      </c>
      <c r="B265" s="4">
        <v>2.307131021340326</v>
      </c>
      <c r="C265" s="5">
        <v>18.141896910723109</v>
      </c>
      <c r="D265" s="4">
        <v>2.7165007260328471</v>
      </c>
      <c r="E265" s="2">
        <f t="shared" si="4"/>
        <v>4.5354742276807771</v>
      </c>
      <c r="F265" s="2">
        <f t="shared" si="5"/>
        <v>67.912518150821171</v>
      </c>
      <c r="G265" s="2">
        <f t="shared" si="6"/>
        <v>63.377043923140391</v>
      </c>
      <c r="H265" s="2">
        <f t="shared" si="7"/>
        <v>72.447992378501951</v>
      </c>
      <c r="I265" s="1">
        <v>1</v>
      </c>
    </row>
    <row r="266" spans="1:9" ht="14.25" customHeight="1" x14ac:dyDescent="0.35">
      <c r="A266" s="1">
        <v>732</v>
      </c>
      <c r="B266" s="4">
        <v>7.9488399781019332</v>
      </c>
      <c r="C266" s="5">
        <v>5.0248851148491314</v>
      </c>
      <c r="D266" s="4">
        <v>2.8725405561718897</v>
      </c>
      <c r="E266" s="2">
        <f t="shared" si="4"/>
        <v>1.2562212787122828</v>
      </c>
      <c r="F266" s="2">
        <f t="shared" si="5"/>
        <v>71.813513904297238</v>
      </c>
      <c r="G266" s="2">
        <f t="shared" si="6"/>
        <v>70.55729262558495</v>
      </c>
      <c r="H266" s="2">
        <f t="shared" si="7"/>
        <v>73.069735183009527</v>
      </c>
      <c r="I266" s="1">
        <v>0</v>
      </c>
    </row>
    <row r="267" spans="1:9" ht="14.25" customHeight="1" x14ac:dyDescent="0.35">
      <c r="A267" s="1">
        <v>742</v>
      </c>
      <c r="B267" s="4">
        <v>2.1823003598291999</v>
      </c>
      <c r="C267" s="5">
        <v>30.954761397170969</v>
      </c>
      <c r="D267" s="4">
        <v>0.60665800017133842</v>
      </c>
      <c r="E267" s="2">
        <f t="shared" si="4"/>
        <v>7.7386903492927424</v>
      </c>
      <c r="F267" s="2">
        <f t="shared" si="5"/>
        <v>15.16645000428346</v>
      </c>
      <c r="G267" s="2">
        <f t="shared" si="6"/>
        <v>7.4277596549907177</v>
      </c>
      <c r="H267" s="2">
        <f t="shared" si="7"/>
        <v>22.905140353576201</v>
      </c>
      <c r="I267" s="1">
        <v>0</v>
      </c>
    </row>
    <row r="268" spans="1:9" ht="14.25" customHeight="1" x14ac:dyDescent="0.35">
      <c r="A268" s="1">
        <v>749</v>
      </c>
      <c r="B268" s="4">
        <v>9.2350666078819597</v>
      </c>
      <c r="C268" s="5">
        <v>13.692907235795282</v>
      </c>
      <c r="D268" s="4">
        <v>3.1088447550817278</v>
      </c>
      <c r="E268" s="2">
        <f t="shared" si="4"/>
        <v>3.4232268089488205</v>
      </c>
      <c r="F268" s="2">
        <f t="shared" si="5"/>
        <v>77.721118877043196</v>
      </c>
      <c r="G268" s="2">
        <f t="shared" si="6"/>
        <v>74.29789206809437</v>
      </c>
      <c r="H268" s="2">
        <f t="shared" si="7"/>
        <v>81.144345685992022</v>
      </c>
      <c r="I268" s="1">
        <v>0</v>
      </c>
    </row>
    <row r="269" spans="1:9" ht="14.25" customHeight="1" x14ac:dyDescent="0.35">
      <c r="A269" s="1">
        <v>750</v>
      </c>
      <c r="B269" s="4">
        <v>1.7476280176606451</v>
      </c>
      <c r="C269" s="5">
        <v>77.943863161360213</v>
      </c>
      <c r="D269" s="4">
        <v>0.94471276115091352</v>
      </c>
      <c r="E269" s="2">
        <f t="shared" si="4"/>
        <v>19.485965790340053</v>
      </c>
      <c r="F269" s="2">
        <f t="shared" si="5"/>
        <v>23.617819028772839</v>
      </c>
      <c r="G269" s="2">
        <f t="shared" si="6"/>
        <v>4.131853238432786</v>
      </c>
      <c r="H269" s="2">
        <f t="shared" si="7"/>
        <v>43.103784819112889</v>
      </c>
      <c r="I269" s="1">
        <v>0</v>
      </c>
    </row>
    <row r="270" spans="1:9" ht="14.25" customHeight="1" x14ac:dyDescent="0.35">
      <c r="A270" s="1">
        <v>751</v>
      </c>
      <c r="B270" s="4">
        <v>2.9625074568140408</v>
      </c>
      <c r="C270" s="5">
        <v>73.380798690737606</v>
      </c>
      <c r="D270" s="4">
        <v>2.6874392284978219</v>
      </c>
      <c r="E270" s="2">
        <f t="shared" si="4"/>
        <v>18.345199672684402</v>
      </c>
      <c r="F270" s="2">
        <f t="shared" si="5"/>
        <v>67.185980712445541</v>
      </c>
      <c r="G270" s="2">
        <f t="shared" si="6"/>
        <v>48.84078103976114</v>
      </c>
      <c r="H270" s="2">
        <f t="shared" si="7"/>
        <v>85.531180385129943</v>
      </c>
      <c r="I270" s="1">
        <v>1</v>
      </c>
    </row>
    <row r="271" spans="1:9" ht="14.25" customHeight="1" x14ac:dyDescent="0.35">
      <c r="A271" s="1">
        <v>753</v>
      </c>
      <c r="B271" s="4">
        <v>2.1333462381685466</v>
      </c>
      <c r="C271" s="5">
        <v>27.910409772967682</v>
      </c>
      <c r="D271" s="4">
        <v>1.707829097730285</v>
      </c>
      <c r="E271" s="2">
        <f t="shared" si="4"/>
        <v>6.9776024432419206</v>
      </c>
      <c r="F271" s="2">
        <f t="shared" si="5"/>
        <v>42.695727443257127</v>
      </c>
      <c r="G271" s="2">
        <f t="shared" si="6"/>
        <v>35.718125000015206</v>
      </c>
      <c r="H271" s="2">
        <f t="shared" si="7"/>
        <v>49.673329886499047</v>
      </c>
      <c r="I271" s="1">
        <v>1</v>
      </c>
    </row>
    <row r="272" spans="1:9" ht="14.25" customHeight="1" x14ac:dyDescent="0.35">
      <c r="A272" s="1">
        <v>755</v>
      </c>
      <c r="B272" s="4">
        <v>0.53430713571528288</v>
      </c>
      <c r="C272" s="5">
        <v>88.099969932523493</v>
      </c>
      <c r="D272" s="4">
        <v>1.2079509469533682</v>
      </c>
      <c r="E272" s="2">
        <f t="shared" si="4"/>
        <v>22.024992483130873</v>
      </c>
      <c r="F272" s="2">
        <f t="shared" si="5"/>
        <v>30.198773673834207</v>
      </c>
      <c r="G272" s="2">
        <f t="shared" si="6"/>
        <v>8.173781190703334</v>
      </c>
      <c r="H272" s="2">
        <f t="shared" si="7"/>
        <v>52.223766156965084</v>
      </c>
      <c r="I272" s="1">
        <v>1</v>
      </c>
    </row>
    <row r="273" spans="1:9" ht="14.25" customHeight="1" x14ac:dyDescent="0.35">
      <c r="A273" s="1">
        <v>757</v>
      </c>
      <c r="B273" s="4">
        <v>2.5456532643571594</v>
      </c>
      <c r="C273" s="5">
        <v>29.709814670131951</v>
      </c>
      <c r="D273" s="4">
        <v>1.1009089778132859</v>
      </c>
      <c r="E273" s="2">
        <f t="shared" si="4"/>
        <v>7.4274536675329879</v>
      </c>
      <c r="F273" s="2">
        <f t="shared" si="5"/>
        <v>27.522724445332148</v>
      </c>
      <c r="G273" s="2">
        <f t="shared" si="6"/>
        <v>20.095270777799161</v>
      </c>
      <c r="H273" s="2">
        <f t="shared" si="7"/>
        <v>34.950178112865139</v>
      </c>
      <c r="I273" s="1">
        <v>0</v>
      </c>
    </row>
    <row r="274" spans="1:9" ht="14.25" customHeight="1" x14ac:dyDescent="0.35">
      <c r="A274" s="1">
        <v>760</v>
      </c>
      <c r="B274" s="4">
        <v>1.6634532033342386</v>
      </c>
      <c r="C274" s="5">
        <v>71.296383545382341</v>
      </c>
      <c r="D274" s="4">
        <v>0.54503932587193649</v>
      </c>
      <c r="E274" s="2">
        <f t="shared" si="4"/>
        <v>17.824095886345585</v>
      </c>
      <c r="F274" s="2">
        <f t="shared" si="5"/>
        <v>13.625983146798411</v>
      </c>
      <c r="G274" s="2">
        <f t="shared" si="6"/>
        <v>-4.1981127395471738</v>
      </c>
      <c r="H274" s="2">
        <f t="shared" si="7"/>
        <v>31.450079033143997</v>
      </c>
      <c r="I274" s="1">
        <v>0</v>
      </c>
    </row>
    <row r="275" spans="1:9" ht="14.25" customHeight="1" x14ac:dyDescent="0.35">
      <c r="A275" s="1">
        <v>762</v>
      </c>
      <c r="B275" s="4">
        <v>0.45024089787638277</v>
      </c>
      <c r="C275" s="5">
        <v>99.337194752892017</v>
      </c>
      <c r="D275" s="4">
        <v>1.2038968510307821</v>
      </c>
      <c r="E275" s="2">
        <f t="shared" si="4"/>
        <v>24.834298688223004</v>
      </c>
      <c r="F275" s="2">
        <f t="shared" si="5"/>
        <v>30.097421275769555</v>
      </c>
      <c r="G275" s="2">
        <f t="shared" si="6"/>
        <v>5.263122587546551</v>
      </c>
      <c r="H275" s="2">
        <f t="shared" si="7"/>
        <v>54.931719963992563</v>
      </c>
      <c r="I275" s="1">
        <v>1</v>
      </c>
    </row>
    <row r="276" spans="1:9" ht="14.25" customHeight="1" x14ac:dyDescent="0.35">
      <c r="A276" s="1">
        <v>764</v>
      </c>
      <c r="B276" s="4">
        <v>1.5783199717317542</v>
      </c>
      <c r="C276" s="5">
        <v>17.506582498632739</v>
      </c>
      <c r="D276" s="4">
        <v>2.5632411608715255</v>
      </c>
      <c r="E276" s="2">
        <f t="shared" si="4"/>
        <v>4.3766456246581846</v>
      </c>
      <c r="F276" s="2">
        <f t="shared" si="5"/>
        <v>64.08102902178814</v>
      </c>
      <c r="G276" s="2">
        <f t="shared" si="6"/>
        <v>59.704383397129959</v>
      </c>
      <c r="H276" s="2">
        <f t="shared" si="7"/>
        <v>68.457674646446321</v>
      </c>
      <c r="I276" s="1">
        <v>1</v>
      </c>
    </row>
    <row r="277" spans="1:9" ht="14.25" customHeight="1" x14ac:dyDescent="0.35">
      <c r="A277" s="1">
        <v>766</v>
      </c>
      <c r="B277" s="4">
        <v>1.0911776982561749</v>
      </c>
      <c r="C277" s="5">
        <v>94.268184033534979</v>
      </c>
      <c r="D277" s="4">
        <v>0.89277196797294156</v>
      </c>
      <c r="E277" s="2">
        <f t="shared" si="4"/>
        <v>23.567046008383745</v>
      </c>
      <c r="F277" s="2">
        <f t="shared" si="5"/>
        <v>22.319299199323538</v>
      </c>
      <c r="G277" s="2">
        <f t="shared" si="6"/>
        <v>-1.2477468090602066</v>
      </c>
      <c r="H277" s="2">
        <f t="shared" si="7"/>
        <v>45.886345207707279</v>
      </c>
      <c r="I277" s="1">
        <v>0</v>
      </c>
    </row>
    <row r="278" spans="1:9" ht="14.25" customHeight="1" x14ac:dyDescent="0.35">
      <c r="A278" s="1">
        <v>768</v>
      </c>
      <c r="B278" s="4">
        <v>5.2032934259225296</v>
      </c>
      <c r="C278" s="5">
        <v>6.10745718760014</v>
      </c>
      <c r="D278" s="4">
        <v>1.415449584996018</v>
      </c>
      <c r="E278" s="2">
        <f t="shared" si="4"/>
        <v>1.526864296900035</v>
      </c>
      <c r="F278" s="2">
        <f t="shared" si="5"/>
        <v>35.386239624900448</v>
      </c>
      <c r="G278" s="2">
        <f t="shared" si="6"/>
        <v>33.859375328000411</v>
      </c>
      <c r="H278" s="2">
        <f t="shared" si="7"/>
        <v>36.913103921800484</v>
      </c>
      <c r="I278" s="1">
        <v>0</v>
      </c>
    </row>
    <row r="279" spans="1:9" ht="14.25" customHeight="1" x14ac:dyDescent="0.35">
      <c r="A279" s="1">
        <v>770</v>
      </c>
      <c r="B279" s="4">
        <v>8.3897178910121344</v>
      </c>
      <c r="C279" s="5">
        <v>43.774260615812047</v>
      </c>
      <c r="D279" s="4">
        <v>2.9818064884083837</v>
      </c>
      <c r="E279" s="2">
        <f t="shared" si="4"/>
        <v>10.943565153953012</v>
      </c>
      <c r="F279" s="2">
        <f t="shared" si="5"/>
        <v>74.545162210209597</v>
      </c>
      <c r="G279" s="2">
        <f t="shared" si="6"/>
        <v>63.601597056256587</v>
      </c>
      <c r="H279" s="2">
        <f t="shared" si="7"/>
        <v>85.488727364162614</v>
      </c>
      <c r="I279" s="1">
        <v>0</v>
      </c>
    </row>
    <row r="280" spans="1:9" ht="14.25" customHeight="1" x14ac:dyDescent="0.35">
      <c r="A280" s="1">
        <v>773</v>
      </c>
      <c r="B280" s="4">
        <v>1.9363917638227557</v>
      </c>
      <c r="C280" s="5">
        <v>90.929689743552643</v>
      </c>
      <c r="D280" s="4">
        <v>3.0687322626052684</v>
      </c>
      <c r="E280" s="2">
        <f t="shared" si="4"/>
        <v>22.732422435888161</v>
      </c>
      <c r="F280" s="2">
        <f t="shared" si="5"/>
        <v>76.718306565131712</v>
      </c>
      <c r="G280" s="2">
        <f t="shared" si="6"/>
        <v>53.985884129243551</v>
      </c>
      <c r="H280" s="2">
        <f t="shared" si="7"/>
        <v>99.45072900101988</v>
      </c>
      <c r="I280" s="1">
        <v>1</v>
      </c>
    </row>
    <row r="281" spans="1:9" ht="14.25" customHeight="1" x14ac:dyDescent="0.35">
      <c r="A281" s="1">
        <v>774</v>
      </c>
      <c r="B281" s="4">
        <v>0.80469247439743818</v>
      </c>
      <c r="C281" s="5">
        <v>30.107002860584998</v>
      </c>
      <c r="D281" s="4">
        <v>2.4069120957504273</v>
      </c>
      <c r="E281" s="2">
        <f t="shared" si="4"/>
        <v>7.5267507151462496</v>
      </c>
      <c r="F281" s="2">
        <f t="shared" si="5"/>
        <v>60.172802393760684</v>
      </c>
      <c r="G281" s="2">
        <f t="shared" si="6"/>
        <v>52.646051678614434</v>
      </c>
      <c r="H281" s="2">
        <f t="shared" si="7"/>
        <v>67.69955310890694</v>
      </c>
      <c r="I281" s="1">
        <v>1</v>
      </c>
    </row>
    <row r="282" spans="1:9" ht="14.25" customHeight="1" x14ac:dyDescent="0.35">
      <c r="A282" s="1">
        <v>777</v>
      </c>
      <c r="B282" s="4">
        <v>2.671789963568163</v>
      </c>
      <c r="C282" s="5">
        <v>79.960129684216227</v>
      </c>
      <c r="D282" s="4">
        <v>0.54849940582999301</v>
      </c>
      <c r="E282" s="2">
        <f t="shared" si="4"/>
        <v>19.990032421054057</v>
      </c>
      <c r="F282" s="2">
        <f t="shared" si="5"/>
        <v>13.712485145749826</v>
      </c>
      <c r="G282" s="2">
        <f t="shared" si="6"/>
        <v>-6.2775472753042312</v>
      </c>
      <c r="H282" s="2">
        <f t="shared" si="7"/>
        <v>33.702517566803884</v>
      </c>
      <c r="I282" s="1">
        <v>0</v>
      </c>
    </row>
    <row r="283" spans="1:9" ht="14.25" customHeight="1" x14ac:dyDescent="0.35">
      <c r="A283" s="1">
        <v>786</v>
      </c>
      <c r="B283" s="4">
        <v>3.5056946362520494</v>
      </c>
      <c r="C283" s="5">
        <v>18.906349871770967</v>
      </c>
      <c r="D283" s="4">
        <v>2.4877881986111685</v>
      </c>
      <c r="E283" s="2">
        <f t="shared" si="4"/>
        <v>4.7265874679427418</v>
      </c>
      <c r="F283" s="2">
        <f t="shared" si="5"/>
        <v>62.194704965279215</v>
      </c>
      <c r="G283" s="2">
        <f t="shared" si="6"/>
        <v>57.468117497336472</v>
      </c>
      <c r="H283" s="2">
        <f t="shared" si="7"/>
        <v>66.92129243322195</v>
      </c>
      <c r="I283" s="1">
        <v>1</v>
      </c>
    </row>
    <row r="284" spans="1:9" ht="14.25" customHeight="1" x14ac:dyDescent="0.35">
      <c r="A284" s="1">
        <v>787</v>
      </c>
      <c r="B284" s="4">
        <v>2.1268036754128983</v>
      </c>
      <c r="C284" s="5">
        <v>28.766179046809803</v>
      </c>
      <c r="D284" s="4">
        <v>0.95897253261019488</v>
      </c>
      <c r="E284" s="2">
        <f t="shared" si="4"/>
        <v>7.1915447617024508</v>
      </c>
      <c r="F284" s="2">
        <f t="shared" si="5"/>
        <v>23.974313315254872</v>
      </c>
      <c r="G284" s="2">
        <f t="shared" si="6"/>
        <v>16.782768553552422</v>
      </c>
      <c r="H284" s="2">
        <f t="shared" si="7"/>
        <v>31.165858076957321</v>
      </c>
      <c r="I284" s="1">
        <v>0</v>
      </c>
    </row>
    <row r="285" spans="1:9" ht="14.25" customHeight="1" x14ac:dyDescent="0.35">
      <c r="A285" s="1">
        <v>788</v>
      </c>
      <c r="B285" s="4">
        <v>4.893131422273143</v>
      </c>
      <c r="C285" s="5">
        <v>43.657814025147538</v>
      </c>
      <c r="D285" s="4">
        <v>2.8002580147692711</v>
      </c>
      <c r="E285" s="2">
        <f t="shared" si="4"/>
        <v>10.914453506286884</v>
      </c>
      <c r="F285" s="2">
        <f t="shared" si="5"/>
        <v>70.006450369231771</v>
      </c>
      <c r="G285" s="2">
        <f t="shared" si="6"/>
        <v>59.091996862944889</v>
      </c>
      <c r="H285" s="2">
        <f t="shared" si="7"/>
        <v>80.920903875518661</v>
      </c>
      <c r="I285" s="1">
        <v>1</v>
      </c>
    </row>
    <row r="286" spans="1:9" ht="14.25" customHeight="1" x14ac:dyDescent="0.35">
      <c r="A286" s="1">
        <v>789</v>
      </c>
      <c r="B286" s="4">
        <v>6.8997489776993319</v>
      </c>
      <c r="C286" s="5">
        <v>83.706402986583441</v>
      </c>
      <c r="D286" s="4">
        <v>2.9889930302416086</v>
      </c>
      <c r="E286" s="2">
        <f t="shared" si="4"/>
        <v>20.92660074664586</v>
      </c>
      <c r="F286" s="2">
        <f t="shared" si="5"/>
        <v>74.724825756040218</v>
      </c>
      <c r="G286" s="2">
        <f t="shared" si="6"/>
        <v>53.798225009394358</v>
      </c>
      <c r="H286" s="2">
        <f t="shared" si="7"/>
        <v>95.651426502686078</v>
      </c>
      <c r="I286" s="1">
        <v>0</v>
      </c>
    </row>
    <row r="287" spans="1:9" ht="14.25" customHeight="1" x14ac:dyDescent="0.35">
      <c r="A287" s="1">
        <v>790</v>
      </c>
      <c r="B287" s="4">
        <v>7.8201937950803906</v>
      </c>
      <c r="C287" s="5">
        <v>3.3189732381488923E-2</v>
      </c>
      <c r="D287" s="4">
        <v>1.8528444424142394</v>
      </c>
      <c r="E287" s="2">
        <f t="shared" si="4"/>
        <v>8.2974330953722308E-3</v>
      </c>
      <c r="F287" s="2">
        <f t="shared" si="5"/>
        <v>46.321111060355982</v>
      </c>
      <c r="G287" s="2">
        <f t="shared" si="6"/>
        <v>46.31281362726061</v>
      </c>
      <c r="H287" s="2">
        <f t="shared" si="7"/>
        <v>46.329408493451353</v>
      </c>
      <c r="I287" s="1">
        <v>0</v>
      </c>
    </row>
    <row r="288" spans="1:9" ht="14.25" customHeight="1" x14ac:dyDescent="0.35">
      <c r="A288" s="1">
        <v>792</v>
      </c>
      <c r="B288" s="4">
        <v>1.9455501288699617</v>
      </c>
      <c r="C288" s="5">
        <v>30.118933426433959</v>
      </c>
      <c r="D288" s="4">
        <v>0.82733077020566925</v>
      </c>
      <c r="E288" s="2">
        <f t="shared" si="4"/>
        <v>7.5297333566084896</v>
      </c>
      <c r="F288" s="2">
        <f t="shared" si="5"/>
        <v>20.683269255141731</v>
      </c>
      <c r="G288" s="2">
        <f t="shared" si="6"/>
        <v>13.153535898533242</v>
      </c>
      <c r="H288" s="2">
        <f t="shared" si="7"/>
        <v>28.21300261175022</v>
      </c>
      <c r="I288" s="1">
        <v>0</v>
      </c>
    </row>
    <row r="289" spans="1:9" ht="14.25" customHeight="1" x14ac:dyDescent="0.35">
      <c r="A289" s="1">
        <v>793</v>
      </c>
      <c r="B289" s="4">
        <v>1.5306598931066917</v>
      </c>
      <c r="C289" s="5">
        <v>36.458708658394613</v>
      </c>
      <c r="D289" s="4">
        <v>2.971260981672204</v>
      </c>
      <c r="E289" s="2">
        <f t="shared" si="4"/>
        <v>9.1146771645986533</v>
      </c>
      <c r="F289" s="2">
        <f t="shared" si="5"/>
        <v>74.281524541805098</v>
      </c>
      <c r="G289" s="2">
        <f t="shared" si="6"/>
        <v>65.166847377206437</v>
      </c>
      <c r="H289" s="2">
        <f t="shared" si="7"/>
        <v>83.396201706403758</v>
      </c>
      <c r="I289" s="1">
        <v>1</v>
      </c>
    </row>
    <row r="290" spans="1:9" ht="14.25" customHeight="1" x14ac:dyDescent="0.35">
      <c r="A290" s="1">
        <v>794</v>
      </c>
      <c r="B290" s="4">
        <v>2.9754537887153854</v>
      </c>
      <c r="C290" s="5">
        <v>65.072464336999531</v>
      </c>
      <c r="D290" s="4">
        <v>2.6135312750305504</v>
      </c>
      <c r="E290" s="2">
        <f t="shared" si="4"/>
        <v>16.268116084249883</v>
      </c>
      <c r="F290" s="2">
        <f t="shared" si="5"/>
        <v>65.338281875763755</v>
      </c>
      <c r="G290" s="2">
        <f t="shared" si="6"/>
        <v>49.070165791513872</v>
      </c>
      <c r="H290" s="2">
        <f t="shared" si="7"/>
        <v>81.606397960013638</v>
      </c>
      <c r="I290" s="1">
        <v>1</v>
      </c>
    </row>
    <row r="291" spans="1:9" ht="14.25" customHeight="1" x14ac:dyDescent="0.35">
      <c r="A291" s="1">
        <v>796</v>
      </c>
      <c r="B291" s="4">
        <v>1.8426413365189798</v>
      </c>
      <c r="C291" s="5">
        <v>88.953729975202123</v>
      </c>
      <c r="D291" s="4">
        <v>0.87201116677975232</v>
      </c>
      <c r="E291" s="2">
        <f t="shared" si="4"/>
        <v>22.238432493800531</v>
      </c>
      <c r="F291" s="2">
        <f t="shared" si="5"/>
        <v>21.800279169493809</v>
      </c>
      <c r="G291" s="2">
        <f t="shared" si="6"/>
        <v>-0.43815332430672171</v>
      </c>
      <c r="H291" s="2">
        <f t="shared" si="7"/>
        <v>44.038711663294336</v>
      </c>
      <c r="I291" s="1">
        <v>0</v>
      </c>
    </row>
    <row r="292" spans="1:9" ht="14.25" customHeight="1" x14ac:dyDescent="0.35">
      <c r="A292" s="1">
        <v>798</v>
      </c>
      <c r="B292" s="4">
        <v>7.5990387083278135</v>
      </c>
      <c r="C292" s="5">
        <v>6.1137161024262472</v>
      </c>
      <c r="D292" s="4">
        <v>2.0497100425392829</v>
      </c>
      <c r="E292" s="2">
        <f t="shared" si="4"/>
        <v>1.5284290256065618</v>
      </c>
      <c r="F292" s="2">
        <f t="shared" si="5"/>
        <v>51.242751063482075</v>
      </c>
      <c r="G292" s="2">
        <f t="shared" si="6"/>
        <v>49.714322037875512</v>
      </c>
      <c r="H292" s="2">
        <f t="shared" si="7"/>
        <v>52.771180089088638</v>
      </c>
      <c r="I292" s="1">
        <v>0</v>
      </c>
    </row>
    <row r="293" spans="1:9" ht="14.25" customHeight="1" x14ac:dyDescent="0.35">
      <c r="A293" s="1">
        <v>800</v>
      </c>
      <c r="B293" s="4">
        <v>9.3310756405959623</v>
      </c>
      <c r="C293" s="5">
        <v>20.764741698943944</v>
      </c>
      <c r="D293" s="4">
        <v>2.7507504863901571</v>
      </c>
      <c r="E293" s="2">
        <f t="shared" si="4"/>
        <v>5.1911854247359859</v>
      </c>
      <c r="F293" s="2">
        <f t="shared" si="5"/>
        <v>68.768762159753933</v>
      </c>
      <c r="G293" s="2">
        <f t="shared" si="6"/>
        <v>63.577576735017949</v>
      </c>
      <c r="H293" s="2">
        <f t="shared" si="7"/>
        <v>73.959947584489925</v>
      </c>
      <c r="I293" s="1">
        <v>0</v>
      </c>
    </row>
    <row r="294" spans="1:9" ht="14.25" customHeight="1" x14ac:dyDescent="0.35">
      <c r="A294" s="1">
        <v>802</v>
      </c>
      <c r="B294" s="4">
        <v>7.1043214039770586</v>
      </c>
      <c r="C294" s="5">
        <v>0.39843641945495056</v>
      </c>
      <c r="D294" s="4">
        <v>1.3545336572317539</v>
      </c>
      <c r="E294" s="2">
        <f t="shared" si="4"/>
        <v>9.9609104863737641E-2</v>
      </c>
      <c r="F294" s="2">
        <f t="shared" si="5"/>
        <v>33.863341430793845</v>
      </c>
      <c r="G294" s="2">
        <f t="shared" si="6"/>
        <v>33.763732325930107</v>
      </c>
      <c r="H294" s="2">
        <f t="shared" si="7"/>
        <v>33.962950535657583</v>
      </c>
      <c r="I294" s="1">
        <v>0</v>
      </c>
    </row>
    <row r="295" spans="1:9" ht="14.25" customHeight="1" x14ac:dyDescent="0.35">
      <c r="A295" s="1">
        <v>804</v>
      </c>
      <c r="B295" s="4">
        <v>1.3612456493786462</v>
      </c>
      <c r="C295" s="5">
        <v>35.171270843974213</v>
      </c>
      <c r="D295" s="4">
        <v>1.4550456501057536</v>
      </c>
      <c r="E295" s="2">
        <f t="shared" si="4"/>
        <v>8.7928177109935532</v>
      </c>
      <c r="F295" s="2">
        <f t="shared" si="5"/>
        <v>36.376141252643841</v>
      </c>
      <c r="G295" s="2">
        <f t="shared" si="6"/>
        <v>27.583323541650287</v>
      </c>
      <c r="H295" s="2">
        <f t="shared" si="7"/>
        <v>45.168958963637394</v>
      </c>
      <c r="I295" s="1">
        <v>1</v>
      </c>
    </row>
    <row r="296" spans="1:9" ht="14.25" customHeight="1" x14ac:dyDescent="0.35">
      <c r="A296" s="1">
        <v>805</v>
      </c>
      <c r="B296" s="4">
        <v>1.7599411510963692</v>
      </c>
      <c r="C296" s="5">
        <v>63.93822553659431</v>
      </c>
      <c r="D296" s="4">
        <v>1.1781907304624772</v>
      </c>
      <c r="E296" s="2">
        <f t="shared" si="4"/>
        <v>15.984556384148577</v>
      </c>
      <c r="F296" s="2">
        <f t="shared" si="5"/>
        <v>29.454768261561931</v>
      </c>
      <c r="G296" s="2">
        <f t="shared" si="6"/>
        <v>13.470211877413353</v>
      </c>
      <c r="H296" s="2">
        <f t="shared" si="7"/>
        <v>45.439324645710506</v>
      </c>
      <c r="I296" s="1">
        <v>0</v>
      </c>
    </row>
    <row r="297" spans="1:9" ht="14.25" customHeight="1" x14ac:dyDescent="0.35">
      <c r="A297" s="1">
        <v>807</v>
      </c>
      <c r="B297" s="4">
        <v>1.9039518524618415</v>
      </c>
      <c r="C297" s="5">
        <v>21.780731885231898</v>
      </c>
      <c r="D297" s="4">
        <v>1.0437236681307391</v>
      </c>
      <c r="E297" s="2">
        <f t="shared" si="4"/>
        <v>5.4451829713079745</v>
      </c>
      <c r="F297" s="2">
        <f t="shared" si="5"/>
        <v>26.093091703268477</v>
      </c>
      <c r="G297" s="2">
        <f t="shared" si="6"/>
        <v>20.647908731960502</v>
      </c>
      <c r="H297" s="2">
        <f t="shared" si="7"/>
        <v>31.538274674576453</v>
      </c>
      <c r="I297" s="1">
        <v>1</v>
      </c>
    </row>
    <row r="298" spans="1:9" ht="14.25" customHeight="1" x14ac:dyDescent="0.35">
      <c r="A298" s="1">
        <v>811</v>
      </c>
      <c r="B298" s="4">
        <v>5.8606499311598288</v>
      </c>
      <c r="C298" s="5">
        <v>31.839208794716011</v>
      </c>
      <c r="D298" s="4">
        <v>3.0826926916543917</v>
      </c>
      <c r="E298" s="2">
        <f t="shared" si="4"/>
        <v>7.9598021986790028</v>
      </c>
      <c r="F298" s="2">
        <f t="shared" si="5"/>
        <v>77.067317291359799</v>
      </c>
      <c r="G298" s="2">
        <f t="shared" si="6"/>
        <v>69.107515092680799</v>
      </c>
      <c r="H298" s="2">
        <f t="shared" si="7"/>
        <v>85.0271194900388</v>
      </c>
      <c r="I298" s="1">
        <v>1</v>
      </c>
    </row>
    <row r="299" spans="1:9" ht="14.25" customHeight="1" x14ac:dyDescent="0.35">
      <c r="A299" s="1">
        <v>813</v>
      </c>
      <c r="B299" s="4">
        <v>8.4164408858275017</v>
      </c>
      <c r="C299" s="5">
        <v>3.2269572748211961</v>
      </c>
      <c r="D299" s="4">
        <v>2.4441506331969185</v>
      </c>
      <c r="E299" s="2">
        <f t="shared" si="4"/>
        <v>0.80673931870529902</v>
      </c>
      <c r="F299" s="2">
        <f t="shared" si="5"/>
        <v>61.103765829922963</v>
      </c>
      <c r="G299" s="2">
        <f t="shared" si="6"/>
        <v>60.297026511217666</v>
      </c>
      <c r="H299" s="2">
        <f t="shared" si="7"/>
        <v>61.91050514862826</v>
      </c>
      <c r="I299" s="1">
        <v>0</v>
      </c>
    </row>
    <row r="300" spans="1:9" ht="14.25" customHeight="1" x14ac:dyDescent="0.35">
      <c r="A300" s="1">
        <v>814</v>
      </c>
      <c r="B300" s="4">
        <v>3.9148214703914741</v>
      </c>
      <c r="C300" s="5">
        <v>84.90455163960047</v>
      </c>
      <c r="D300" s="4">
        <v>2.5235076043894962</v>
      </c>
      <c r="E300" s="2">
        <f t="shared" si="4"/>
        <v>21.226137909900118</v>
      </c>
      <c r="F300" s="2">
        <f t="shared" si="5"/>
        <v>63.087690109737402</v>
      </c>
      <c r="G300" s="2">
        <f t="shared" si="6"/>
        <v>41.861552199837284</v>
      </c>
      <c r="H300" s="2">
        <f t="shared" si="7"/>
        <v>84.313828019637526</v>
      </c>
      <c r="I300" s="1">
        <v>1</v>
      </c>
    </row>
    <row r="301" spans="1:9" ht="14.25" customHeight="1" x14ac:dyDescent="0.35">
      <c r="A301" s="1">
        <v>820</v>
      </c>
      <c r="B301" s="4">
        <v>2.8667342608148338</v>
      </c>
      <c r="C301" s="5">
        <v>93.1599478171469</v>
      </c>
      <c r="D301" s="4">
        <v>0.40648714014498344</v>
      </c>
      <c r="E301" s="2">
        <f t="shared" si="4"/>
        <v>23.289986954286725</v>
      </c>
      <c r="F301" s="2">
        <f t="shared" si="5"/>
        <v>10.162178503624586</v>
      </c>
      <c r="G301" s="2">
        <f t="shared" si="6"/>
        <v>-13.127808450662139</v>
      </c>
      <c r="H301" s="2">
        <f t="shared" si="7"/>
        <v>33.452165457911313</v>
      </c>
      <c r="I301" s="1">
        <v>0</v>
      </c>
    </row>
    <row r="302" spans="1:9" ht="14.25" customHeight="1" x14ac:dyDescent="0.35">
      <c r="A302" s="1">
        <v>821</v>
      </c>
      <c r="B302" s="4">
        <v>2.0467901820589676</v>
      </c>
      <c r="C302" s="5">
        <v>6.9242576765975787</v>
      </c>
      <c r="D302" s="4">
        <v>2.2294676822866899</v>
      </c>
      <c r="E302" s="2">
        <f t="shared" si="4"/>
        <v>1.7310644191493947</v>
      </c>
      <c r="F302" s="2">
        <f t="shared" si="5"/>
        <v>55.736692057167247</v>
      </c>
      <c r="G302" s="2">
        <f t="shared" si="6"/>
        <v>54.005627638017849</v>
      </c>
      <c r="H302" s="2">
        <f t="shared" si="7"/>
        <v>57.467756476316644</v>
      </c>
      <c r="I302" s="1">
        <v>1</v>
      </c>
    </row>
    <row r="303" spans="1:9" ht="14.25" customHeight="1" x14ac:dyDescent="0.35">
      <c r="A303" s="1">
        <v>822</v>
      </c>
      <c r="B303" s="4">
        <v>2.8091609471460375</v>
      </c>
      <c r="C303" s="5">
        <v>48.035789616350257</v>
      </c>
      <c r="D303" s="4">
        <v>2.6768555448029465</v>
      </c>
      <c r="E303" s="2">
        <f t="shared" si="4"/>
        <v>12.008947404087564</v>
      </c>
      <c r="F303" s="2">
        <f t="shared" si="5"/>
        <v>66.921388620073657</v>
      </c>
      <c r="G303" s="2">
        <f t="shared" si="6"/>
        <v>54.912441215986092</v>
      </c>
      <c r="H303" s="2">
        <f t="shared" si="7"/>
        <v>78.930336024161221</v>
      </c>
      <c r="I303" s="1">
        <v>1</v>
      </c>
    </row>
    <row r="304" spans="1:9" ht="14.25" customHeight="1" x14ac:dyDescent="0.35">
      <c r="A304" s="1">
        <v>832</v>
      </c>
      <c r="B304" s="4">
        <v>2.5123292766081216</v>
      </c>
      <c r="C304" s="5">
        <v>79.466066822644891</v>
      </c>
      <c r="D304" s="4">
        <v>2.5387498378529934</v>
      </c>
      <c r="E304" s="2">
        <f t="shared" si="4"/>
        <v>19.866516705661223</v>
      </c>
      <c r="F304" s="2">
        <f t="shared" si="5"/>
        <v>63.46874594632483</v>
      </c>
      <c r="G304" s="2">
        <f t="shared" si="6"/>
        <v>43.602229240663604</v>
      </c>
      <c r="H304" s="2">
        <f t="shared" si="7"/>
        <v>83.335262651986056</v>
      </c>
      <c r="I304" s="1">
        <v>1</v>
      </c>
    </row>
    <row r="305" spans="1:9" ht="14.25" customHeight="1" x14ac:dyDescent="0.35">
      <c r="A305" s="1">
        <v>834</v>
      </c>
      <c r="B305" s="4">
        <v>4.6737245424359468</v>
      </c>
      <c r="C305" s="5">
        <v>8.1269681121061144</v>
      </c>
      <c r="D305" s="4">
        <v>0.76860816520052244</v>
      </c>
      <c r="E305" s="2">
        <f t="shared" si="4"/>
        <v>2.0317420280265286</v>
      </c>
      <c r="F305" s="2">
        <f t="shared" si="5"/>
        <v>19.21520413001306</v>
      </c>
      <c r="G305" s="2">
        <f t="shared" si="6"/>
        <v>17.183462101986532</v>
      </c>
      <c r="H305" s="2">
        <f t="shared" si="7"/>
        <v>21.246946158039588</v>
      </c>
      <c r="I305" s="1">
        <v>0</v>
      </c>
    </row>
    <row r="306" spans="1:9" ht="14.25" customHeight="1" x14ac:dyDescent="0.35">
      <c r="A306" s="1">
        <v>836</v>
      </c>
      <c r="B306" s="4">
        <v>8.2176486062281029</v>
      </c>
      <c r="C306" s="5">
        <v>0.17799302280316898</v>
      </c>
      <c r="D306" s="4">
        <v>1.7590900459121823</v>
      </c>
      <c r="E306" s="2">
        <f t="shared" si="4"/>
        <v>4.4498255700792244E-2</v>
      </c>
      <c r="F306" s="2">
        <f t="shared" si="5"/>
        <v>43.977251147804559</v>
      </c>
      <c r="G306" s="2">
        <f t="shared" si="6"/>
        <v>43.932752892103764</v>
      </c>
      <c r="H306" s="2">
        <f t="shared" si="7"/>
        <v>44.021749403505353</v>
      </c>
      <c r="I306" s="1">
        <v>0</v>
      </c>
    </row>
    <row r="307" spans="1:9" ht="14.25" customHeight="1" x14ac:dyDescent="0.35">
      <c r="A307" s="1">
        <v>839</v>
      </c>
      <c r="B307" s="4">
        <v>6.4512495725591688</v>
      </c>
      <c r="C307" s="5">
        <v>93.645423896480381</v>
      </c>
      <c r="D307" s="4">
        <v>3.1780736798421731</v>
      </c>
      <c r="E307" s="2">
        <f t="shared" si="4"/>
        <v>23.411355974120095</v>
      </c>
      <c r="F307" s="2">
        <f t="shared" si="5"/>
        <v>79.451841996054327</v>
      </c>
      <c r="G307" s="2">
        <f t="shared" si="6"/>
        <v>56.040486021934228</v>
      </c>
      <c r="H307" s="2">
        <f t="shared" si="7"/>
        <v>102.86319797017443</v>
      </c>
      <c r="I307" s="1">
        <v>0</v>
      </c>
    </row>
    <row r="308" spans="1:9" ht="14.25" customHeight="1" x14ac:dyDescent="0.35">
      <c r="A308" s="1">
        <v>840</v>
      </c>
      <c r="B308" s="4">
        <v>7.3690581900459593</v>
      </c>
      <c r="C308" s="5">
        <v>63.626479588360816</v>
      </c>
      <c r="D308" s="4">
        <v>2.7627054276567025</v>
      </c>
      <c r="E308" s="2">
        <f t="shared" si="4"/>
        <v>15.906619897090204</v>
      </c>
      <c r="F308" s="2">
        <f t="shared" si="5"/>
        <v>69.067635691417564</v>
      </c>
      <c r="G308" s="2">
        <f t="shared" si="6"/>
        <v>53.161015794327362</v>
      </c>
      <c r="H308" s="2">
        <f t="shared" si="7"/>
        <v>84.974255588507773</v>
      </c>
      <c r="I308" s="1">
        <v>0</v>
      </c>
    </row>
    <row r="309" spans="1:9" ht="14.25" customHeight="1" x14ac:dyDescent="0.35">
      <c r="A309" s="1">
        <v>841</v>
      </c>
      <c r="B309" s="4">
        <v>9.5877300941731534</v>
      </c>
      <c r="C309" s="5">
        <v>5.5540555491838113</v>
      </c>
      <c r="D309" s="4">
        <v>2.8719824769025029</v>
      </c>
      <c r="E309" s="2">
        <f t="shared" si="4"/>
        <v>1.3885138872959528</v>
      </c>
      <c r="F309" s="2">
        <f t="shared" si="5"/>
        <v>71.799561922562575</v>
      </c>
      <c r="G309" s="2">
        <f t="shared" si="6"/>
        <v>70.411048035266617</v>
      </c>
      <c r="H309" s="2">
        <f t="shared" si="7"/>
        <v>73.188075809858532</v>
      </c>
      <c r="I309" s="1">
        <v>0</v>
      </c>
    </row>
    <row r="310" spans="1:9" ht="14.25" customHeight="1" x14ac:dyDescent="0.35">
      <c r="A310" s="1">
        <v>842</v>
      </c>
      <c r="B310" s="4">
        <v>2.538891127769892</v>
      </c>
      <c r="C310" s="5">
        <v>48.645523075824016</v>
      </c>
      <c r="D310" s="4">
        <v>2.0429833194461549</v>
      </c>
      <c r="E310" s="2">
        <f t="shared" si="4"/>
        <v>12.161380768956004</v>
      </c>
      <c r="F310" s="2">
        <f t="shared" si="5"/>
        <v>51.074582986153871</v>
      </c>
      <c r="G310" s="2">
        <f t="shared" si="6"/>
        <v>38.913202217197863</v>
      </c>
      <c r="H310" s="2">
        <f t="shared" si="7"/>
        <v>63.235963755109879</v>
      </c>
      <c r="I310" s="1">
        <v>1</v>
      </c>
    </row>
    <row r="311" spans="1:9" ht="14.25" customHeight="1" x14ac:dyDescent="0.35">
      <c r="A311" s="1">
        <v>843</v>
      </c>
      <c r="B311" s="4">
        <v>9.9480693686482233</v>
      </c>
      <c r="C311" s="5">
        <v>73.320392656264048</v>
      </c>
      <c r="D311" s="4">
        <v>3.0444966850209774</v>
      </c>
      <c r="E311" s="2">
        <f t="shared" si="4"/>
        <v>18.330098164066012</v>
      </c>
      <c r="F311" s="2">
        <f t="shared" si="5"/>
        <v>76.112417125524431</v>
      </c>
      <c r="G311" s="2">
        <f t="shared" si="6"/>
        <v>57.782318961458415</v>
      </c>
      <c r="H311" s="2">
        <f t="shared" si="7"/>
        <v>94.442515289590446</v>
      </c>
      <c r="I311" s="1">
        <v>0</v>
      </c>
    </row>
    <row r="312" spans="1:9" ht="14.25" customHeight="1" x14ac:dyDescent="0.35">
      <c r="A312" s="1">
        <v>844</v>
      </c>
      <c r="B312" s="4">
        <v>9.6367160636279543</v>
      </c>
      <c r="C312" s="5">
        <v>72.496155008194023</v>
      </c>
      <c r="D312" s="4">
        <v>3.0380340398579562</v>
      </c>
      <c r="E312" s="2">
        <f t="shared" si="4"/>
        <v>18.124038752048506</v>
      </c>
      <c r="F312" s="2">
        <f t="shared" si="5"/>
        <v>75.950850996448906</v>
      </c>
      <c r="G312" s="2">
        <f t="shared" si="6"/>
        <v>57.826812244400401</v>
      </c>
      <c r="H312" s="2">
        <f t="shared" si="7"/>
        <v>94.074889748497412</v>
      </c>
      <c r="I312" s="1">
        <v>0</v>
      </c>
    </row>
    <row r="313" spans="1:9" ht="14.25" customHeight="1" x14ac:dyDescent="0.35">
      <c r="A313" s="1">
        <v>847</v>
      </c>
      <c r="B313" s="4">
        <v>4.3970957259501677</v>
      </c>
      <c r="C313" s="5">
        <v>24.6588101810292</v>
      </c>
      <c r="D313" s="4">
        <v>2.2621856969762439</v>
      </c>
      <c r="E313" s="2">
        <f t="shared" si="4"/>
        <v>6.1647025452572999</v>
      </c>
      <c r="F313" s="2">
        <f t="shared" si="5"/>
        <v>56.554642424406097</v>
      </c>
      <c r="G313" s="2">
        <f t="shared" si="6"/>
        <v>50.389939879148798</v>
      </c>
      <c r="H313" s="2">
        <f t="shared" si="7"/>
        <v>62.719344969663396</v>
      </c>
      <c r="I313" s="1">
        <v>1</v>
      </c>
    </row>
    <row r="314" spans="1:9" ht="14.25" customHeight="1" x14ac:dyDescent="0.35">
      <c r="A314" s="1">
        <v>850</v>
      </c>
      <c r="B314" s="4">
        <v>4.0757995580193445</v>
      </c>
      <c r="C314" s="5">
        <v>59.347643989919504</v>
      </c>
      <c r="D314" s="4">
        <v>2.9846122570688705</v>
      </c>
      <c r="E314" s="2">
        <f t="shared" si="4"/>
        <v>14.836910997479876</v>
      </c>
      <c r="F314" s="2">
        <f t="shared" si="5"/>
        <v>74.615306426721759</v>
      </c>
      <c r="G314" s="2">
        <f t="shared" si="6"/>
        <v>59.778395429241883</v>
      </c>
      <c r="H314" s="2">
        <f t="shared" si="7"/>
        <v>89.452217424201635</v>
      </c>
      <c r="I314" s="1">
        <v>1</v>
      </c>
    </row>
    <row r="315" spans="1:9" ht="14.25" customHeight="1" x14ac:dyDescent="0.35">
      <c r="A315" s="1">
        <v>853</v>
      </c>
      <c r="B315" s="4">
        <v>7.0539311336542854</v>
      </c>
      <c r="C315" s="5">
        <v>5.3315748519488508</v>
      </c>
      <c r="D315" s="4">
        <v>1.9167112653606846</v>
      </c>
      <c r="E315" s="2">
        <f t="shared" si="4"/>
        <v>1.3328937129872127</v>
      </c>
      <c r="F315" s="2">
        <f t="shared" si="5"/>
        <v>47.917781634017118</v>
      </c>
      <c r="G315" s="2">
        <f t="shared" si="6"/>
        <v>46.584887921029903</v>
      </c>
      <c r="H315" s="2">
        <f t="shared" si="7"/>
        <v>49.250675347004332</v>
      </c>
      <c r="I315" s="1">
        <v>0</v>
      </c>
    </row>
    <row r="316" spans="1:9" ht="14.25" customHeight="1" x14ac:dyDescent="0.35">
      <c r="A316" s="1">
        <v>854</v>
      </c>
      <c r="B316" s="4">
        <v>2.943799591398677</v>
      </c>
      <c r="C316" s="5">
        <v>74.041542528679798</v>
      </c>
      <c r="D316" s="4">
        <v>0.79966642486193384</v>
      </c>
      <c r="E316" s="2">
        <f t="shared" si="4"/>
        <v>18.51038563216995</v>
      </c>
      <c r="F316" s="2">
        <f t="shared" si="5"/>
        <v>19.991660621548345</v>
      </c>
      <c r="G316" s="2">
        <f t="shared" si="6"/>
        <v>1.4812749893783952</v>
      </c>
      <c r="H316" s="2">
        <f t="shared" si="7"/>
        <v>38.502046253718291</v>
      </c>
      <c r="I316" s="1">
        <v>0</v>
      </c>
    </row>
    <row r="317" spans="1:9" ht="14.25" customHeight="1" x14ac:dyDescent="0.35">
      <c r="A317" s="1">
        <v>857</v>
      </c>
      <c r="B317" s="4">
        <v>7.5733691751827648</v>
      </c>
      <c r="C317" s="5">
        <v>4.8066627218295572</v>
      </c>
      <c r="D317" s="4">
        <v>2.9252380773878981</v>
      </c>
      <c r="E317" s="2">
        <f t="shared" si="4"/>
        <v>1.2016656804573893</v>
      </c>
      <c r="F317" s="2">
        <f t="shared" si="5"/>
        <v>73.13095193469745</v>
      </c>
      <c r="G317" s="2">
        <f t="shared" si="6"/>
        <v>71.929286254240054</v>
      </c>
      <c r="H317" s="2">
        <f t="shared" si="7"/>
        <v>74.332617615154845</v>
      </c>
      <c r="I317" s="1">
        <v>0</v>
      </c>
    </row>
    <row r="318" spans="1:9" ht="14.25" customHeight="1" x14ac:dyDescent="0.35">
      <c r="A318" s="1">
        <v>860</v>
      </c>
      <c r="B318" s="4">
        <v>7.1784982531228199</v>
      </c>
      <c r="C318" s="5">
        <v>4.8610607958877727</v>
      </c>
      <c r="D318" s="4">
        <v>2.4822919460870021</v>
      </c>
      <c r="E318" s="2">
        <f t="shared" si="4"/>
        <v>1.2152651989719432</v>
      </c>
      <c r="F318" s="2">
        <f t="shared" si="5"/>
        <v>62.057298652175049</v>
      </c>
      <c r="G318" s="2">
        <f t="shared" si="6"/>
        <v>60.842033453203108</v>
      </c>
      <c r="H318" s="2">
        <f t="shared" si="7"/>
        <v>63.272563851146991</v>
      </c>
      <c r="I318" s="1">
        <v>0</v>
      </c>
    </row>
    <row r="319" spans="1:9" ht="14.25" customHeight="1" x14ac:dyDescent="0.35">
      <c r="A319" s="1">
        <v>865</v>
      </c>
      <c r="B319" s="4">
        <v>1.1825119775638515</v>
      </c>
      <c r="C319" s="5">
        <v>61.001663362472414</v>
      </c>
      <c r="D319" s="4">
        <v>2.4604800800746749</v>
      </c>
      <c r="E319" s="2">
        <f t="shared" si="4"/>
        <v>15.250415840618103</v>
      </c>
      <c r="F319" s="2">
        <f t="shared" si="5"/>
        <v>61.512002001866875</v>
      </c>
      <c r="G319" s="2">
        <f t="shared" si="6"/>
        <v>46.261586161248772</v>
      </c>
      <c r="H319" s="2">
        <f t="shared" si="7"/>
        <v>76.762417842484979</v>
      </c>
      <c r="I319" s="1">
        <v>1</v>
      </c>
    </row>
    <row r="320" spans="1:9" ht="14.25" customHeight="1" x14ac:dyDescent="0.35">
      <c r="A320" s="1">
        <v>866</v>
      </c>
      <c r="B320" s="4">
        <v>2.6350399785298926</v>
      </c>
      <c r="C320" s="5">
        <v>85.066456875315552</v>
      </c>
      <c r="D320" s="4">
        <v>1.3373020077115685</v>
      </c>
      <c r="E320" s="2">
        <f t="shared" si="4"/>
        <v>21.266614218828888</v>
      </c>
      <c r="F320" s="2">
        <f t="shared" si="5"/>
        <v>33.432550192789215</v>
      </c>
      <c r="G320" s="2">
        <f t="shared" si="6"/>
        <v>12.165935973960327</v>
      </c>
      <c r="H320" s="2">
        <f t="shared" si="7"/>
        <v>54.699164411618099</v>
      </c>
      <c r="I320" s="1">
        <v>0</v>
      </c>
    </row>
    <row r="321" spans="1:9" ht="14.25" customHeight="1" x14ac:dyDescent="0.35">
      <c r="A321" s="1">
        <v>869</v>
      </c>
      <c r="B321" s="4">
        <v>5.7529976006271921</v>
      </c>
      <c r="C321" s="5">
        <v>52.730306374635362</v>
      </c>
      <c r="D321" s="4">
        <v>2.93359037579265</v>
      </c>
      <c r="E321" s="2">
        <f t="shared" si="4"/>
        <v>13.18257659365884</v>
      </c>
      <c r="F321" s="2">
        <f t="shared" si="5"/>
        <v>73.339759394816255</v>
      </c>
      <c r="G321" s="2">
        <f t="shared" si="6"/>
        <v>60.157182801157418</v>
      </c>
      <c r="H321" s="2">
        <f t="shared" si="7"/>
        <v>86.522335988475092</v>
      </c>
      <c r="I321" s="1">
        <v>0</v>
      </c>
    </row>
    <row r="322" spans="1:9" ht="14.25" customHeight="1" x14ac:dyDescent="0.35">
      <c r="A322" s="1">
        <v>870</v>
      </c>
      <c r="B322" s="4">
        <v>2.8777593324401196</v>
      </c>
      <c r="C322" s="5">
        <v>4.1728791551684186</v>
      </c>
      <c r="D322" s="4">
        <v>1.9891607634022033</v>
      </c>
      <c r="E322" s="2">
        <f t="shared" si="4"/>
        <v>1.0432197887921046</v>
      </c>
      <c r="F322" s="2">
        <f t="shared" si="5"/>
        <v>49.729019085055079</v>
      </c>
      <c r="G322" s="2">
        <f t="shared" si="6"/>
        <v>48.685799296262971</v>
      </c>
      <c r="H322" s="2">
        <f t="shared" si="7"/>
        <v>50.772238873847186</v>
      </c>
      <c r="I322" s="1">
        <v>1</v>
      </c>
    </row>
    <row r="323" spans="1:9" ht="14.25" customHeight="1" x14ac:dyDescent="0.35">
      <c r="A323" s="1">
        <v>872</v>
      </c>
      <c r="B323" s="4">
        <v>5.8911859065317298</v>
      </c>
      <c r="C323" s="5">
        <v>0.32542690615354752</v>
      </c>
      <c r="D323" s="4">
        <v>0.92378802779970148</v>
      </c>
      <c r="E323" s="2">
        <f t="shared" si="4"/>
        <v>8.1356726538386881E-2</v>
      </c>
      <c r="F323" s="2">
        <f t="shared" si="5"/>
        <v>23.094700694992536</v>
      </c>
      <c r="G323" s="2">
        <f t="shared" si="6"/>
        <v>23.013343968454148</v>
      </c>
      <c r="H323" s="2">
        <f t="shared" si="7"/>
        <v>23.176057421530924</v>
      </c>
      <c r="I323" s="1">
        <v>0</v>
      </c>
    </row>
    <row r="324" spans="1:9" ht="14.25" customHeight="1" x14ac:dyDescent="0.35">
      <c r="A324" s="1">
        <v>877</v>
      </c>
      <c r="B324" s="4">
        <v>1.9237352009658093</v>
      </c>
      <c r="C324" s="5">
        <v>58.167592001499656</v>
      </c>
      <c r="D324" s="4">
        <v>2.4807927777424479</v>
      </c>
      <c r="E324" s="2">
        <f t="shared" si="4"/>
        <v>14.541898000374914</v>
      </c>
      <c r="F324" s="2">
        <f t="shared" si="5"/>
        <v>62.019819443561197</v>
      </c>
      <c r="G324" s="2">
        <f t="shared" si="6"/>
        <v>47.477921443186283</v>
      </c>
      <c r="H324" s="2">
        <f t="shared" si="7"/>
        <v>76.561717443936118</v>
      </c>
      <c r="I324" s="1">
        <v>1</v>
      </c>
    </row>
    <row r="325" spans="1:9" ht="14.25" customHeight="1" x14ac:dyDescent="0.35">
      <c r="A325" s="1">
        <v>881</v>
      </c>
      <c r="B325" s="4">
        <v>2.0578832456965057</v>
      </c>
      <c r="C325" s="5">
        <v>77.377469664625195</v>
      </c>
      <c r="D325" s="4">
        <v>2.4512612306009425</v>
      </c>
      <c r="E325" s="2">
        <f t="shared" si="4"/>
        <v>19.344367416156299</v>
      </c>
      <c r="F325" s="2">
        <f t="shared" si="5"/>
        <v>61.281530765023561</v>
      </c>
      <c r="G325" s="2">
        <f t="shared" si="6"/>
        <v>41.937163348867259</v>
      </c>
      <c r="H325" s="2">
        <f t="shared" si="7"/>
        <v>80.625898181179863</v>
      </c>
      <c r="I325" s="1">
        <v>1</v>
      </c>
    </row>
    <row r="326" spans="1:9" ht="14.25" customHeight="1" x14ac:dyDescent="0.35">
      <c r="A326" s="1">
        <v>882</v>
      </c>
      <c r="B326" s="4">
        <v>6.0707386033012263</v>
      </c>
      <c r="C326" s="5">
        <v>38.093707532288313</v>
      </c>
      <c r="D326" s="4">
        <v>2.8351833885780655</v>
      </c>
      <c r="E326" s="2">
        <f t="shared" si="4"/>
        <v>9.5234268830720783</v>
      </c>
      <c r="F326" s="2">
        <f t="shared" si="5"/>
        <v>70.879584714451639</v>
      </c>
      <c r="G326" s="2">
        <f t="shared" si="6"/>
        <v>61.356157831379562</v>
      </c>
      <c r="H326" s="2">
        <f t="shared" si="7"/>
        <v>80.403011597523715</v>
      </c>
      <c r="I326" s="1">
        <v>0</v>
      </c>
    </row>
    <row r="327" spans="1:9" ht="14.25" customHeight="1" x14ac:dyDescent="0.35">
      <c r="A327" s="1">
        <v>887</v>
      </c>
      <c r="B327" s="4">
        <v>4.9686601118931186</v>
      </c>
      <c r="C327" s="5">
        <v>3.8320455416202104</v>
      </c>
      <c r="D327" s="4">
        <v>1.5646362110877148</v>
      </c>
      <c r="E327" s="2">
        <f t="shared" si="4"/>
        <v>0.9580113854050526</v>
      </c>
      <c r="F327" s="2">
        <f t="shared" si="5"/>
        <v>39.115905277192873</v>
      </c>
      <c r="G327" s="2">
        <f t="shared" si="6"/>
        <v>38.157893891787822</v>
      </c>
      <c r="H327" s="2">
        <f t="shared" si="7"/>
        <v>40.073916662597924</v>
      </c>
      <c r="I327" s="1">
        <v>0</v>
      </c>
    </row>
    <row r="328" spans="1:9" ht="14.25" customHeight="1" x14ac:dyDescent="0.35">
      <c r="A328" s="1">
        <v>892</v>
      </c>
      <c r="B328" s="4">
        <v>1.982881574739298</v>
      </c>
      <c r="C328" s="5">
        <v>97.881670076894309</v>
      </c>
      <c r="D328" s="4">
        <v>2.2444356060616961</v>
      </c>
      <c r="E328" s="2">
        <f t="shared" si="4"/>
        <v>24.470417519223577</v>
      </c>
      <c r="F328" s="2">
        <f t="shared" si="5"/>
        <v>56.110890151542407</v>
      </c>
      <c r="G328" s="2">
        <f t="shared" si="6"/>
        <v>31.640472632318829</v>
      </c>
      <c r="H328" s="2">
        <f t="shared" si="7"/>
        <v>80.58130767076598</v>
      </c>
      <c r="I328" s="1">
        <v>1</v>
      </c>
    </row>
    <row r="329" spans="1:9" ht="14.25" customHeight="1" x14ac:dyDescent="0.35">
      <c r="A329" s="1">
        <v>893</v>
      </c>
      <c r="B329" s="4">
        <v>1.8739554197004249</v>
      </c>
      <c r="C329" s="5">
        <v>18.219840589159787</v>
      </c>
      <c r="D329" s="4">
        <v>1.0252021496093406</v>
      </c>
      <c r="E329" s="2">
        <f t="shared" si="4"/>
        <v>4.5549601472899468</v>
      </c>
      <c r="F329" s="2">
        <f t="shared" si="5"/>
        <v>25.630053740233517</v>
      </c>
      <c r="G329" s="2">
        <f t="shared" si="6"/>
        <v>21.075093592943571</v>
      </c>
      <c r="H329" s="2">
        <f t="shared" si="7"/>
        <v>30.185013887523464</v>
      </c>
      <c r="I329" s="1">
        <v>1</v>
      </c>
    </row>
    <row r="330" spans="1:9" ht="14.25" customHeight="1" x14ac:dyDescent="0.35">
      <c r="A330" s="1">
        <v>897</v>
      </c>
      <c r="B330" s="4">
        <v>6.6286404555023388</v>
      </c>
      <c r="C330" s="5">
        <v>7.3073806247415778</v>
      </c>
      <c r="D330" s="4">
        <v>1.1713132765910024</v>
      </c>
      <c r="E330" s="2">
        <f t="shared" si="4"/>
        <v>1.8268451561853944</v>
      </c>
      <c r="F330" s="2">
        <f t="shared" si="5"/>
        <v>29.282831914775059</v>
      </c>
      <c r="G330" s="2">
        <f t="shared" si="6"/>
        <v>27.455986758589663</v>
      </c>
      <c r="H330" s="2">
        <f t="shared" si="7"/>
        <v>31.109677070960455</v>
      </c>
      <c r="I330" s="1">
        <v>0</v>
      </c>
    </row>
    <row r="331" spans="1:9" ht="14.25" customHeight="1" x14ac:dyDescent="0.35">
      <c r="A331" s="1">
        <v>898</v>
      </c>
      <c r="B331" s="4">
        <v>2.442217949644212</v>
      </c>
      <c r="C331" s="5">
        <v>29.731882313102865</v>
      </c>
      <c r="D331" s="4">
        <v>1.8582243358425123</v>
      </c>
      <c r="E331" s="2">
        <f t="shared" si="4"/>
        <v>7.4329705782757163</v>
      </c>
      <c r="F331" s="2">
        <f t="shared" si="5"/>
        <v>46.455608396062807</v>
      </c>
      <c r="G331" s="2">
        <f t="shared" si="6"/>
        <v>39.022637817787093</v>
      </c>
      <c r="H331" s="2">
        <f t="shared" si="7"/>
        <v>53.888578974338522</v>
      </c>
      <c r="I331" s="1">
        <v>1</v>
      </c>
    </row>
    <row r="332" spans="1:9" ht="14.25" customHeight="1" x14ac:dyDescent="0.35">
      <c r="A332" s="1">
        <v>902</v>
      </c>
      <c r="B332" s="4">
        <v>3.2951711710406908</v>
      </c>
      <c r="C332" s="5">
        <v>25.369400074618088</v>
      </c>
      <c r="D332" s="4">
        <v>2.4600252857721698</v>
      </c>
      <c r="E332" s="2">
        <f t="shared" si="4"/>
        <v>6.3423500186545221</v>
      </c>
      <c r="F332" s="2">
        <f t="shared" si="5"/>
        <v>61.500632144304248</v>
      </c>
      <c r="G332" s="2">
        <f t="shared" si="6"/>
        <v>55.158282125649727</v>
      </c>
      <c r="H332" s="2">
        <f t="shared" si="7"/>
        <v>67.842982162958776</v>
      </c>
      <c r="I332" s="1">
        <v>1</v>
      </c>
    </row>
    <row r="333" spans="1:9" ht="14.25" customHeight="1" x14ac:dyDescent="0.35">
      <c r="A333" s="1">
        <v>906</v>
      </c>
      <c r="B333" s="4">
        <v>5.999727549320907</v>
      </c>
      <c r="C333" s="5">
        <v>3.5383758093638473</v>
      </c>
      <c r="D333" s="4">
        <v>1.5703156083848988</v>
      </c>
      <c r="E333" s="2">
        <f t="shared" si="4"/>
        <v>0.88459395234096183</v>
      </c>
      <c r="F333" s="2">
        <f t="shared" si="5"/>
        <v>39.257890209622474</v>
      </c>
      <c r="G333" s="2">
        <f t="shared" si="6"/>
        <v>38.37329625728151</v>
      </c>
      <c r="H333" s="2">
        <f t="shared" si="7"/>
        <v>40.142484161963438</v>
      </c>
      <c r="I333" s="1">
        <v>0</v>
      </c>
    </row>
    <row r="334" spans="1:9" ht="14.25" customHeight="1" x14ac:dyDescent="0.35">
      <c r="A334" s="1">
        <v>907</v>
      </c>
      <c r="B334" s="4">
        <v>2.703574087155304</v>
      </c>
      <c r="C334" s="5">
        <v>11.069155848639911</v>
      </c>
      <c r="D334" s="4">
        <v>3.1155854490368755</v>
      </c>
      <c r="E334" s="2">
        <f t="shared" si="4"/>
        <v>2.7672889621599777</v>
      </c>
      <c r="F334" s="2">
        <f t="shared" si="5"/>
        <v>77.88963622592189</v>
      </c>
      <c r="G334" s="2">
        <f t="shared" si="6"/>
        <v>75.12234726376191</v>
      </c>
      <c r="H334" s="2">
        <f t="shared" si="7"/>
        <v>80.656925188081871</v>
      </c>
      <c r="I334" s="1">
        <v>1</v>
      </c>
    </row>
    <row r="335" spans="1:9" ht="14.25" customHeight="1" x14ac:dyDescent="0.35">
      <c r="A335" s="1">
        <v>908</v>
      </c>
      <c r="B335" s="4">
        <v>9.7899024251970967</v>
      </c>
      <c r="C335" s="5">
        <v>39.329506007282497</v>
      </c>
      <c r="D335" s="4">
        <v>3.2126973351879622</v>
      </c>
      <c r="E335" s="2">
        <f t="shared" si="4"/>
        <v>9.8323765018206242</v>
      </c>
      <c r="F335" s="2">
        <f t="shared" si="5"/>
        <v>80.317433379699054</v>
      </c>
      <c r="G335" s="2">
        <f t="shared" si="6"/>
        <v>70.485056877878435</v>
      </c>
      <c r="H335" s="2">
        <f t="shared" si="7"/>
        <v>90.149809881519673</v>
      </c>
      <c r="I335" s="1">
        <v>0</v>
      </c>
    </row>
    <row r="336" spans="1:9" ht="14.25" customHeight="1" x14ac:dyDescent="0.35">
      <c r="A336" s="1">
        <v>909</v>
      </c>
      <c r="B336" s="4">
        <v>3.5885136494259342</v>
      </c>
      <c r="C336" s="5">
        <v>49.544259556649862</v>
      </c>
      <c r="D336" s="4">
        <v>3.0070392667554442</v>
      </c>
      <c r="E336" s="2">
        <f t="shared" si="4"/>
        <v>12.386064889162466</v>
      </c>
      <c r="F336" s="2">
        <f t="shared" si="5"/>
        <v>75.175981668886109</v>
      </c>
      <c r="G336" s="2">
        <f t="shared" si="6"/>
        <v>62.78991677972364</v>
      </c>
      <c r="H336" s="2">
        <f t="shared" si="7"/>
        <v>87.562046558048579</v>
      </c>
      <c r="I336" s="1">
        <v>1</v>
      </c>
    </row>
    <row r="337" spans="1:9" ht="14.25" customHeight="1" x14ac:dyDescent="0.35">
      <c r="A337" s="1">
        <v>910</v>
      </c>
      <c r="B337" s="4">
        <v>8.1000725738569574</v>
      </c>
      <c r="C337" s="5">
        <v>77.131087605238662</v>
      </c>
      <c r="D337" s="4">
        <v>3.0934027716713364</v>
      </c>
      <c r="E337" s="2">
        <f t="shared" si="4"/>
        <v>19.282771901309665</v>
      </c>
      <c r="F337" s="2">
        <f t="shared" si="5"/>
        <v>77.335069291783412</v>
      </c>
      <c r="G337" s="2">
        <f t="shared" si="6"/>
        <v>58.052297390473747</v>
      </c>
      <c r="H337" s="2">
        <f t="shared" si="7"/>
        <v>96.617841193093085</v>
      </c>
      <c r="I337" s="1">
        <v>0</v>
      </c>
    </row>
    <row r="338" spans="1:9" ht="14.25" customHeight="1" x14ac:dyDescent="0.35">
      <c r="A338" s="1">
        <v>911</v>
      </c>
      <c r="B338" s="4">
        <v>1.9335633747787351</v>
      </c>
      <c r="C338" s="5">
        <v>43.205483236656448</v>
      </c>
      <c r="D338" s="4">
        <v>2.5054151186286813</v>
      </c>
      <c r="E338" s="2">
        <f t="shared" si="4"/>
        <v>10.801370809164112</v>
      </c>
      <c r="F338" s="2">
        <f t="shared" si="5"/>
        <v>62.635377965717034</v>
      </c>
      <c r="G338" s="2">
        <f t="shared" si="6"/>
        <v>51.834007156552921</v>
      </c>
      <c r="H338" s="2">
        <f t="shared" si="7"/>
        <v>73.436748774881153</v>
      </c>
      <c r="I338" s="1">
        <v>1</v>
      </c>
    </row>
    <row r="339" spans="1:9" ht="14.25" customHeight="1" x14ac:dyDescent="0.35">
      <c r="A339" s="1">
        <v>914</v>
      </c>
      <c r="B339" s="4">
        <v>4.3693233940604834</v>
      </c>
      <c r="C339" s="5">
        <v>57.544736176699118</v>
      </c>
      <c r="D339" s="4">
        <v>2.496607569643376</v>
      </c>
      <c r="E339" s="2">
        <f t="shared" si="4"/>
        <v>14.386184044174779</v>
      </c>
      <c r="F339" s="2">
        <f t="shared" si="5"/>
        <v>62.415189241084398</v>
      </c>
      <c r="G339" s="2">
        <f t="shared" si="6"/>
        <v>48.029005196909623</v>
      </c>
      <c r="H339" s="2">
        <f t="shared" si="7"/>
        <v>76.801373285259174</v>
      </c>
      <c r="I339" s="1">
        <v>1</v>
      </c>
    </row>
    <row r="340" spans="1:9" ht="14.25" customHeight="1" x14ac:dyDescent="0.35">
      <c r="A340" s="1">
        <v>919</v>
      </c>
      <c r="B340" s="4">
        <v>7.3605457497480176</v>
      </c>
      <c r="C340" s="5">
        <v>48.588764596551712</v>
      </c>
      <c r="D340" s="4">
        <v>2.9955005190553985</v>
      </c>
      <c r="E340" s="2">
        <f t="shared" si="4"/>
        <v>12.147191149137928</v>
      </c>
      <c r="F340" s="2">
        <f t="shared" si="5"/>
        <v>74.887512976384969</v>
      </c>
      <c r="G340" s="2">
        <f t="shared" si="6"/>
        <v>62.740321827247044</v>
      </c>
      <c r="H340" s="2">
        <f t="shared" si="7"/>
        <v>87.034704125522893</v>
      </c>
      <c r="I340" s="1">
        <v>0</v>
      </c>
    </row>
    <row r="341" spans="1:9" ht="14.25" customHeight="1" x14ac:dyDescent="0.35">
      <c r="A341" s="1">
        <v>921</v>
      </c>
      <c r="B341" s="4">
        <v>2.5440431296332422</v>
      </c>
      <c r="C341" s="5">
        <v>19.436563618590508</v>
      </c>
      <c r="D341" s="4">
        <v>1.3441814364283244</v>
      </c>
      <c r="E341" s="2">
        <f t="shared" si="4"/>
        <v>4.859140904647627</v>
      </c>
      <c r="F341" s="2">
        <f t="shared" si="5"/>
        <v>33.604535910708108</v>
      </c>
      <c r="G341" s="2">
        <f t="shared" si="6"/>
        <v>28.74539500606048</v>
      </c>
      <c r="H341" s="2">
        <f t="shared" si="7"/>
        <v>38.463676815355733</v>
      </c>
      <c r="I341" s="1">
        <v>1</v>
      </c>
    </row>
    <row r="342" spans="1:9" ht="14.25" customHeight="1" x14ac:dyDescent="0.35">
      <c r="A342" s="1">
        <v>925</v>
      </c>
      <c r="B342" s="4">
        <v>1.9951619736682802</v>
      </c>
      <c r="C342" s="5">
        <v>93.519207582981494</v>
      </c>
      <c r="D342" s="4">
        <v>1.0887239067010381</v>
      </c>
      <c r="E342" s="2">
        <f t="shared" si="4"/>
        <v>23.379801895745373</v>
      </c>
      <c r="F342" s="2">
        <f t="shared" si="5"/>
        <v>27.218097667525953</v>
      </c>
      <c r="G342" s="2">
        <f t="shared" si="6"/>
        <v>3.8382957717805795</v>
      </c>
      <c r="H342" s="2">
        <f t="shared" si="7"/>
        <v>50.597899563271326</v>
      </c>
      <c r="I342" s="1">
        <v>0</v>
      </c>
    </row>
    <row r="343" spans="1:9" ht="14.25" customHeight="1" x14ac:dyDescent="0.35">
      <c r="A343" s="1">
        <v>926</v>
      </c>
      <c r="B343" s="4">
        <v>2.7713869129557747</v>
      </c>
      <c r="C343" s="5">
        <v>43.966042252461236</v>
      </c>
      <c r="D343" s="4">
        <v>2.0049965407962822</v>
      </c>
      <c r="E343" s="2">
        <f t="shared" si="4"/>
        <v>10.991510563115309</v>
      </c>
      <c r="F343" s="2">
        <f t="shared" si="5"/>
        <v>50.124913519907054</v>
      </c>
      <c r="G343" s="2">
        <f t="shared" si="6"/>
        <v>39.133402956791741</v>
      </c>
      <c r="H343" s="2">
        <f t="shared" si="7"/>
        <v>61.116424083022366</v>
      </c>
      <c r="I343" s="1">
        <v>1</v>
      </c>
    </row>
    <row r="344" spans="1:9" ht="14.25" customHeight="1" x14ac:dyDescent="0.35">
      <c r="A344" s="1">
        <v>927</v>
      </c>
      <c r="B344" s="4">
        <v>4.2200021846494717</v>
      </c>
      <c r="C344" s="5">
        <v>69.703767010350845</v>
      </c>
      <c r="D344" s="4">
        <v>2.3944543900133528</v>
      </c>
      <c r="E344" s="2">
        <f t="shared" si="4"/>
        <v>17.425941752587711</v>
      </c>
      <c r="F344" s="2">
        <f t="shared" si="5"/>
        <v>59.861359750333818</v>
      </c>
      <c r="G344" s="2">
        <f t="shared" si="6"/>
        <v>42.435417997746107</v>
      </c>
      <c r="H344" s="2">
        <f t="shared" si="7"/>
        <v>77.287301502921537</v>
      </c>
      <c r="I344" s="1">
        <v>0</v>
      </c>
    </row>
    <row r="345" spans="1:9" ht="14.25" customHeight="1" x14ac:dyDescent="0.35">
      <c r="A345" s="1">
        <v>930</v>
      </c>
      <c r="B345" s="4">
        <v>2.7549304722085735</v>
      </c>
      <c r="C345" s="5">
        <v>7.4158770781698085</v>
      </c>
      <c r="D345" s="4">
        <v>2.1105652586560986</v>
      </c>
      <c r="E345" s="2">
        <f t="shared" si="4"/>
        <v>1.8539692695424521</v>
      </c>
      <c r="F345" s="2">
        <f t="shared" si="5"/>
        <v>52.764131466402461</v>
      </c>
      <c r="G345" s="2">
        <f t="shared" si="6"/>
        <v>50.910162196860007</v>
      </c>
      <c r="H345" s="2">
        <f t="shared" si="7"/>
        <v>54.618100735944914</v>
      </c>
      <c r="I345" s="1">
        <v>1</v>
      </c>
    </row>
    <row r="346" spans="1:9" ht="14.25" customHeight="1" x14ac:dyDescent="0.35">
      <c r="A346" s="1">
        <v>931</v>
      </c>
      <c r="B346" s="4">
        <v>2.7904960506969556</v>
      </c>
      <c r="C346" s="5">
        <v>5.2130440978829906</v>
      </c>
      <c r="D346" s="4">
        <v>0.93002087125522115</v>
      </c>
      <c r="E346" s="2">
        <f t="shared" si="4"/>
        <v>1.3032610244707477</v>
      </c>
      <c r="F346" s="2">
        <f t="shared" si="5"/>
        <v>23.250521781380527</v>
      </c>
      <c r="G346" s="2">
        <f t="shared" si="6"/>
        <v>21.947260756909781</v>
      </c>
      <c r="H346" s="2">
        <f t="shared" si="7"/>
        <v>24.553782805851274</v>
      </c>
      <c r="I346" s="1">
        <v>0</v>
      </c>
    </row>
    <row r="347" spans="1:9" ht="14.25" customHeight="1" x14ac:dyDescent="0.35">
      <c r="A347" s="1">
        <v>932</v>
      </c>
      <c r="B347" s="4">
        <v>3.0412679026231624</v>
      </c>
      <c r="C347" s="5">
        <v>54.386403670793612</v>
      </c>
      <c r="D347" s="4">
        <v>1.4432946042609451</v>
      </c>
      <c r="E347" s="2">
        <f t="shared" si="4"/>
        <v>13.596600917698403</v>
      </c>
      <c r="F347" s="2">
        <f t="shared" si="5"/>
        <v>36.082365106523625</v>
      </c>
      <c r="G347" s="2">
        <f t="shared" si="6"/>
        <v>22.485764188825222</v>
      </c>
      <c r="H347" s="2">
        <f t="shared" si="7"/>
        <v>49.678966024222028</v>
      </c>
      <c r="I347" s="1">
        <v>0</v>
      </c>
    </row>
    <row r="348" spans="1:9" ht="14.25" customHeight="1" x14ac:dyDescent="0.35">
      <c r="A348" s="1">
        <v>940</v>
      </c>
      <c r="B348" s="4">
        <v>4.4904599143116606</v>
      </c>
      <c r="C348" s="5">
        <v>42.203770021775512</v>
      </c>
      <c r="D348" s="4">
        <v>2.7399006674772557</v>
      </c>
      <c r="E348" s="2">
        <f t="shared" si="4"/>
        <v>10.550942505443878</v>
      </c>
      <c r="F348" s="2">
        <f t="shared" si="5"/>
        <v>68.497516686931391</v>
      </c>
      <c r="G348" s="2">
        <f t="shared" si="6"/>
        <v>57.946574181487513</v>
      </c>
      <c r="H348" s="2">
        <f t="shared" si="7"/>
        <v>79.048459192375276</v>
      </c>
      <c r="I348" s="1">
        <v>1</v>
      </c>
    </row>
    <row r="349" spans="1:9" ht="14.25" customHeight="1" x14ac:dyDescent="0.35">
      <c r="A349" s="1">
        <v>941</v>
      </c>
      <c r="B349" s="4">
        <v>1.9354733747805986</v>
      </c>
      <c r="C349" s="5">
        <v>52.506593388524536</v>
      </c>
      <c r="D349" s="4">
        <v>0.70410084589658217</v>
      </c>
      <c r="E349" s="2">
        <f t="shared" si="4"/>
        <v>13.126648347131134</v>
      </c>
      <c r="F349" s="2">
        <f t="shared" si="5"/>
        <v>17.602521147414553</v>
      </c>
      <c r="G349" s="2">
        <f t="shared" si="6"/>
        <v>4.4758728002834189</v>
      </c>
      <c r="H349" s="2">
        <f t="shared" si="7"/>
        <v>30.729169494545687</v>
      </c>
      <c r="I349" s="1">
        <v>0</v>
      </c>
    </row>
    <row r="350" spans="1:9" ht="14.25" customHeight="1" x14ac:dyDescent="0.35">
      <c r="A350" s="1">
        <v>942</v>
      </c>
      <c r="B350" s="4">
        <v>5.2245469511436777</v>
      </c>
      <c r="C350" s="5">
        <v>66.474177386765433</v>
      </c>
      <c r="D350" s="4">
        <v>3.1902110097848069</v>
      </c>
      <c r="E350" s="2">
        <f t="shared" si="4"/>
        <v>16.618544346691358</v>
      </c>
      <c r="F350" s="2">
        <f t="shared" si="5"/>
        <v>79.755275244620165</v>
      </c>
      <c r="G350" s="2">
        <f t="shared" si="6"/>
        <v>63.136730897928807</v>
      </c>
      <c r="H350" s="2">
        <f t="shared" si="7"/>
        <v>96.373819591311531</v>
      </c>
      <c r="I350" s="1">
        <v>1</v>
      </c>
    </row>
    <row r="351" spans="1:9" ht="14.25" customHeight="1" x14ac:dyDescent="0.35">
      <c r="A351" s="1">
        <v>945</v>
      </c>
      <c r="B351" s="4">
        <v>1.8525448468969952</v>
      </c>
      <c r="C351" s="5">
        <v>57.428761391341823</v>
      </c>
      <c r="D351" s="4">
        <v>1.9315248026607479</v>
      </c>
      <c r="E351" s="2">
        <f t="shared" si="4"/>
        <v>14.357190347835456</v>
      </c>
      <c r="F351" s="2">
        <f t="shared" si="5"/>
        <v>48.288120066518694</v>
      </c>
      <c r="G351" s="2">
        <f t="shared" si="6"/>
        <v>33.930929718683238</v>
      </c>
      <c r="H351" s="2">
        <f t="shared" si="7"/>
        <v>62.645310414354149</v>
      </c>
      <c r="I351" s="1">
        <v>1</v>
      </c>
    </row>
    <row r="352" spans="1:9" ht="14.25" customHeight="1" x14ac:dyDescent="0.35">
      <c r="A352" s="1">
        <v>946</v>
      </c>
      <c r="B352" s="4">
        <v>2.2513313292517956</v>
      </c>
      <c r="C352" s="5">
        <v>28.3383698145228</v>
      </c>
      <c r="D352" s="4">
        <v>1.2815812709127499</v>
      </c>
      <c r="E352" s="2">
        <f t="shared" si="4"/>
        <v>7.0845924536306999</v>
      </c>
      <c r="F352" s="2">
        <f t="shared" si="5"/>
        <v>32.039531772818748</v>
      </c>
      <c r="G352" s="2">
        <f t="shared" si="6"/>
        <v>24.95493931918805</v>
      </c>
      <c r="H352" s="2">
        <f t="shared" si="7"/>
        <v>39.124124226449446</v>
      </c>
      <c r="I352" s="1">
        <v>1</v>
      </c>
    </row>
    <row r="353" spans="1:9" ht="14.25" customHeight="1" x14ac:dyDescent="0.35">
      <c r="A353" s="1">
        <v>948</v>
      </c>
      <c r="B353" s="4">
        <v>2.5989597031659271</v>
      </c>
      <c r="C353" s="5">
        <v>52.648277343692165</v>
      </c>
      <c r="D353" s="4">
        <v>2.6020930635261972</v>
      </c>
      <c r="E353" s="2">
        <f t="shared" si="4"/>
        <v>13.162069335923041</v>
      </c>
      <c r="F353" s="2">
        <f t="shared" si="5"/>
        <v>65.052326588154926</v>
      </c>
      <c r="G353" s="2">
        <f t="shared" si="6"/>
        <v>51.890257252231883</v>
      </c>
      <c r="H353" s="2">
        <f t="shared" si="7"/>
        <v>78.214395924077962</v>
      </c>
      <c r="I353" s="1">
        <v>1</v>
      </c>
    </row>
    <row r="354" spans="1:9" ht="14.25" customHeight="1" x14ac:dyDescent="0.35">
      <c r="A354" s="1">
        <v>949</v>
      </c>
      <c r="B354" s="4">
        <v>0.86523383294739187</v>
      </c>
      <c r="C354" s="5">
        <v>98.249782774153502</v>
      </c>
      <c r="D354" s="4">
        <v>3.2019058741676325</v>
      </c>
      <c r="E354" s="2">
        <f t="shared" si="4"/>
        <v>24.562445693538375</v>
      </c>
      <c r="F354" s="2">
        <f t="shared" si="5"/>
        <v>80.047646854190816</v>
      </c>
      <c r="G354" s="2">
        <f t="shared" si="6"/>
        <v>55.485201160652437</v>
      </c>
      <c r="H354" s="2">
        <f t="shared" si="7"/>
        <v>104.6100925477292</v>
      </c>
      <c r="I354" s="1">
        <v>1</v>
      </c>
    </row>
    <row r="355" spans="1:9" ht="14.25" customHeight="1" x14ac:dyDescent="0.35">
      <c r="A355" s="1">
        <v>951</v>
      </c>
      <c r="B355" s="4">
        <v>2.621341523654638</v>
      </c>
      <c r="C355" s="5">
        <v>86.065097671960714</v>
      </c>
      <c r="D355" s="4">
        <v>2.6247247209377544</v>
      </c>
      <c r="E355" s="2">
        <f t="shared" si="4"/>
        <v>21.516274417990179</v>
      </c>
      <c r="F355" s="2">
        <f t="shared" si="5"/>
        <v>65.618118023443856</v>
      </c>
      <c r="G355" s="2">
        <f t="shared" si="6"/>
        <v>44.101843605453681</v>
      </c>
      <c r="H355" s="2">
        <f t="shared" si="7"/>
        <v>87.134392441434031</v>
      </c>
      <c r="I355" s="1">
        <v>1</v>
      </c>
    </row>
    <row r="356" spans="1:9" ht="14.25" customHeight="1" x14ac:dyDescent="0.35">
      <c r="A356" s="1">
        <v>952</v>
      </c>
      <c r="B356" s="4">
        <v>3.7788579468200965</v>
      </c>
      <c r="C356" s="5">
        <v>26.46333335858516</v>
      </c>
      <c r="D356" s="4">
        <v>2.8951123276092172</v>
      </c>
      <c r="E356" s="2">
        <f t="shared" si="4"/>
        <v>6.6158333396462901</v>
      </c>
      <c r="F356" s="2">
        <f t="shared" si="5"/>
        <v>72.377808190230425</v>
      </c>
      <c r="G356" s="2">
        <f t="shared" si="6"/>
        <v>65.761974850584139</v>
      </c>
      <c r="H356" s="2">
        <f t="shared" si="7"/>
        <v>78.993641529876712</v>
      </c>
      <c r="I356" s="1">
        <v>1</v>
      </c>
    </row>
    <row r="357" spans="1:9" ht="14.25" customHeight="1" x14ac:dyDescent="0.35">
      <c r="A357" s="1">
        <v>954</v>
      </c>
      <c r="B357" s="4">
        <v>3.5213995169796286</v>
      </c>
      <c r="C357" s="5">
        <v>4.1259991134545704E-2</v>
      </c>
      <c r="D357" s="4">
        <v>0.25512942873062083</v>
      </c>
      <c r="E357" s="2">
        <f t="shared" si="4"/>
        <v>1.0314997783636426E-2</v>
      </c>
      <c r="F357" s="2">
        <f t="shared" si="5"/>
        <v>6.3782357182655209</v>
      </c>
      <c r="G357" s="2">
        <f t="shared" si="6"/>
        <v>6.3679207204818846</v>
      </c>
      <c r="H357" s="2">
        <f t="shared" si="7"/>
        <v>6.3885507160491573</v>
      </c>
      <c r="I357" s="1">
        <v>0</v>
      </c>
    </row>
    <row r="358" spans="1:9" ht="14.25" customHeight="1" x14ac:dyDescent="0.35">
      <c r="A358" s="1">
        <v>955</v>
      </c>
      <c r="B358" s="4">
        <v>6.3337369649412389</v>
      </c>
      <c r="C358" s="5">
        <v>15.998953432707797</v>
      </c>
      <c r="D358" s="4">
        <v>2.9575779491830172</v>
      </c>
      <c r="E358" s="2">
        <f t="shared" si="4"/>
        <v>3.9997383581769492</v>
      </c>
      <c r="F358" s="2">
        <f t="shared" si="5"/>
        <v>73.939448729575432</v>
      </c>
      <c r="G358" s="2">
        <f t="shared" si="6"/>
        <v>69.939710371398476</v>
      </c>
      <c r="H358" s="2">
        <f t="shared" si="7"/>
        <v>77.939187087752387</v>
      </c>
      <c r="I358" s="1">
        <v>1</v>
      </c>
    </row>
    <row r="359" spans="1:9" ht="14.25" customHeight="1" x14ac:dyDescent="0.35">
      <c r="A359" s="1">
        <v>956</v>
      </c>
      <c r="B359" s="4">
        <v>4.3910514863551899</v>
      </c>
      <c r="C359" s="5">
        <v>7.4776300999606864</v>
      </c>
      <c r="D359" s="4">
        <v>2.3296747184912898</v>
      </c>
      <c r="E359" s="2">
        <f t="shared" si="4"/>
        <v>1.8694075249901716</v>
      </c>
      <c r="F359" s="2">
        <f t="shared" si="5"/>
        <v>58.241867962282242</v>
      </c>
      <c r="G359" s="2">
        <f t="shared" si="6"/>
        <v>56.372460437292069</v>
      </c>
      <c r="H359" s="2">
        <f t="shared" si="7"/>
        <v>60.111275487272415</v>
      </c>
      <c r="I359" s="1">
        <v>1</v>
      </c>
    </row>
    <row r="360" spans="1:9" ht="14.25" customHeight="1" x14ac:dyDescent="0.35">
      <c r="A360" s="1">
        <v>957</v>
      </c>
      <c r="B360" s="4">
        <v>3.1890439134701043</v>
      </c>
      <c r="C360" s="5">
        <v>37.842107101503764</v>
      </c>
      <c r="D360" s="4">
        <v>1.6538148494871492</v>
      </c>
      <c r="E360" s="2">
        <f t="shared" si="4"/>
        <v>9.460526775375941</v>
      </c>
      <c r="F360" s="2">
        <f t="shared" si="5"/>
        <v>41.345371237178732</v>
      </c>
      <c r="G360" s="2">
        <f t="shared" si="6"/>
        <v>31.884844461802793</v>
      </c>
      <c r="H360" s="2">
        <f t="shared" si="7"/>
        <v>50.805898012554671</v>
      </c>
      <c r="I360" s="1">
        <v>0</v>
      </c>
    </row>
    <row r="361" spans="1:9" ht="14.25" customHeight="1" x14ac:dyDescent="0.35">
      <c r="A361" s="1">
        <v>959</v>
      </c>
      <c r="B361" s="4">
        <v>7.985880696492023</v>
      </c>
      <c r="C361" s="5">
        <v>11.20943255343253</v>
      </c>
      <c r="D361" s="4">
        <v>3.2277762467118438</v>
      </c>
      <c r="E361" s="2">
        <f t="shared" si="4"/>
        <v>2.8023581383581324</v>
      </c>
      <c r="F361" s="2">
        <f t="shared" si="5"/>
        <v>80.694406167796089</v>
      </c>
      <c r="G361" s="2">
        <f t="shared" si="6"/>
        <v>77.892048029437959</v>
      </c>
      <c r="H361" s="2">
        <f t="shared" si="7"/>
        <v>83.496764306154219</v>
      </c>
      <c r="I361" s="1">
        <v>0</v>
      </c>
    </row>
    <row r="362" spans="1:9" ht="14.25" customHeight="1" x14ac:dyDescent="0.35">
      <c r="A362" s="1">
        <v>961</v>
      </c>
      <c r="B362" s="4">
        <v>5.2424359195975869</v>
      </c>
      <c r="C362" s="5">
        <v>57.867540466228284</v>
      </c>
      <c r="D362" s="4">
        <v>2.7860540142845083</v>
      </c>
      <c r="E362" s="2">
        <f t="shared" si="4"/>
        <v>14.466885116557071</v>
      </c>
      <c r="F362" s="2">
        <f t="shared" si="5"/>
        <v>69.651350357112705</v>
      </c>
      <c r="G362" s="2">
        <f t="shared" si="6"/>
        <v>55.184465240555632</v>
      </c>
      <c r="H362" s="2">
        <f t="shared" si="7"/>
        <v>84.11823547366977</v>
      </c>
      <c r="I362" s="1">
        <v>0</v>
      </c>
    </row>
    <row r="363" spans="1:9" ht="14.25" customHeight="1" x14ac:dyDescent="0.35">
      <c r="A363" s="1">
        <v>962</v>
      </c>
      <c r="B363" s="4">
        <v>0.3621252484718851</v>
      </c>
      <c r="C363" s="5">
        <v>95.408128218027827</v>
      </c>
      <c r="D363" s="4">
        <v>0.61690368932313355</v>
      </c>
      <c r="E363" s="2">
        <f t="shared" si="4"/>
        <v>23.852032054506957</v>
      </c>
      <c r="F363" s="2">
        <f t="shared" si="5"/>
        <v>15.422592233078339</v>
      </c>
      <c r="G363" s="2">
        <f t="shared" si="6"/>
        <v>-8.4294398214286179</v>
      </c>
      <c r="H363" s="2">
        <f t="shared" si="7"/>
        <v>39.274624287585297</v>
      </c>
      <c r="I363" s="1">
        <v>0</v>
      </c>
    </row>
    <row r="364" spans="1:9" ht="14.25" customHeight="1" x14ac:dyDescent="0.35">
      <c r="A364" s="1">
        <v>966</v>
      </c>
      <c r="B364" s="4">
        <v>2.7321710400883825</v>
      </c>
      <c r="C364" s="5">
        <v>58.655679851668175</v>
      </c>
      <c r="D364" s="4">
        <v>3.0262736228703639</v>
      </c>
      <c r="E364" s="2">
        <f t="shared" si="4"/>
        <v>14.663919962917044</v>
      </c>
      <c r="F364" s="2">
        <f t="shared" si="5"/>
        <v>75.656840571759105</v>
      </c>
      <c r="G364" s="2">
        <f t="shared" si="6"/>
        <v>60.992920608842063</v>
      </c>
      <c r="H364" s="2">
        <f t="shared" si="7"/>
        <v>90.320760534676154</v>
      </c>
      <c r="I364" s="1">
        <v>1</v>
      </c>
    </row>
    <row r="365" spans="1:9" ht="14.25" customHeight="1" x14ac:dyDescent="0.35">
      <c r="A365" s="1">
        <v>970</v>
      </c>
      <c r="B365" s="4">
        <v>2.1551925975341222</v>
      </c>
      <c r="C365" s="5">
        <v>62.251675513847303</v>
      </c>
      <c r="D365" s="4">
        <v>2.4230372330894476</v>
      </c>
      <c r="E365" s="2">
        <f t="shared" si="4"/>
        <v>15.562918878461826</v>
      </c>
      <c r="F365" s="2">
        <f t="shared" si="5"/>
        <v>60.575930827236192</v>
      </c>
      <c r="G365" s="2">
        <f t="shared" si="6"/>
        <v>45.013011948774363</v>
      </c>
      <c r="H365" s="2">
        <f t="shared" si="7"/>
        <v>76.138849705698021</v>
      </c>
      <c r="I365" s="1">
        <v>1</v>
      </c>
    </row>
    <row r="366" spans="1:9" ht="14.25" customHeight="1" x14ac:dyDescent="0.35">
      <c r="A366" s="1">
        <v>971</v>
      </c>
      <c r="B366" s="4">
        <v>0.33898337185350957</v>
      </c>
      <c r="C366" s="5">
        <v>91.732859570614224</v>
      </c>
      <c r="D366" s="4">
        <v>0.64675650793850092</v>
      </c>
      <c r="E366" s="2">
        <f t="shared" si="4"/>
        <v>22.933214892653556</v>
      </c>
      <c r="F366" s="2">
        <f t="shared" si="5"/>
        <v>16.168912698462524</v>
      </c>
      <c r="G366" s="2">
        <f t="shared" si="6"/>
        <v>-6.764302194191032</v>
      </c>
      <c r="H366" s="2">
        <f t="shared" si="7"/>
        <v>39.10212759111608</v>
      </c>
      <c r="I366" s="1">
        <v>0</v>
      </c>
    </row>
    <row r="367" spans="1:9" ht="14.25" customHeight="1" x14ac:dyDescent="0.35">
      <c r="A367" s="1">
        <v>974</v>
      </c>
      <c r="B367" s="4">
        <v>2.6042552090840445</v>
      </c>
      <c r="C367" s="5">
        <v>77.92819183853787</v>
      </c>
      <c r="D367" s="4">
        <v>1.2883663378130155</v>
      </c>
      <c r="E367" s="2">
        <f t="shared" si="4"/>
        <v>19.482047959634468</v>
      </c>
      <c r="F367" s="2">
        <f t="shared" si="5"/>
        <v>32.209158445325386</v>
      </c>
      <c r="G367" s="2">
        <f t="shared" si="6"/>
        <v>12.727110485690918</v>
      </c>
      <c r="H367" s="2">
        <f t="shared" si="7"/>
        <v>51.691206404959857</v>
      </c>
      <c r="I367" s="1">
        <v>0</v>
      </c>
    </row>
    <row r="368" spans="1:9" ht="14.25" customHeight="1" x14ac:dyDescent="0.35">
      <c r="A368" s="1">
        <v>977</v>
      </c>
      <c r="B368" s="4">
        <v>1.3460155598940049</v>
      </c>
      <c r="C368" s="5">
        <v>14.426959271837092</v>
      </c>
      <c r="D368" s="4">
        <v>1.2479184762209665</v>
      </c>
      <c r="E368" s="2">
        <f t="shared" si="4"/>
        <v>3.6067398179592729</v>
      </c>
      <c r="F368" s="2">
        <f t="shared" si="5"/>
        <v>31.197961905524163</v>
      </c>
      <c r="G368" s="2">
        <f t="shared" si="6"/>
        <v>27.591222087564891</v>
      </c>
      <c r="H368" s="2">
        <f t="shared" si="7"/>
        <v>34.804701723483433</v>
      </c>
      <c r="I368" s="1">
        <v>1</v>
      </c>
    </row>
    <row r="369" spans="1:9" ht="14.25" customHeight="1" x14ac:dyDescent="0.35">
      <c r="A369" s="1">
        <v>982</v>
      </c>
      <c r="B369" s="4">
        <v>0.33735976863779937</v>
      </c>
      <c r="C369" s="5">
        <v>57.704951339070263</v>
      </c>
      <c r="D369" s="4">
        <v>2.9035709185058072</v>
      </c>
      <c r="E369" s="2">
        <f t="shared" si="4"/>
        <v>14.426237834767566</v>
      </c>
      <c r="F369" s="2">
        <f t="shared" si="5"/>
        <v>72.589272962645182</v>
      </c>
      <c r="G369" s="2">
        <f t="shared" si="6"/>
        <v>58.16303512787762</v>
      </c>
      <c r="H369" s="2">
        <f t="shared" si="7"/>
        <v>87.015510797412745</v>
      </c>
      <c r="I369" s="1">
        <v>1</v>
      </c>
    </row>
    <row r="370" spans="1:9" ht="14.25" customHeight="1" x14ac:dyDescent="0.35">
      <c r="A370" s="1">
        <v>983</v>
      </c>
      <c r="B370" s="4">
        <v>8.4421409456160852</v>
      </c>
      <c r="C370" s="5">
        <v>3.7976003360098765</v>
      </c>
      <c r="D370" s="4">
        <v>1.3674349530210526</v>
      </c>
      <c r="E370" s="2">
        <f t="shared" si="4"/>
        <v>0.94940008400246911</v>
      </c>
      <c r="F370" s="2">
        <f t="shared" si="5"/>
        <v>34.185873825526315</v>
      </c>
      <c r="G370" s="2">
        <f t="shared" si="6"/>
        <v>33.236473741523845</v>
      </c>
      <c r="H370" s="2">
        <f t="shared" si="7"/>
        <v>35.135273909528784</v>
      </c>
      <c r="I370" s="1">
        <v>0</v>
      </c>
    </row>
    <row r="371" spans="1:9" ht="14.25" customHeight="1" x14ac:dyDescent="0.35">
      <c r="A371" s="1">
        <v>984</v>
      </c>
      <c r="B371" s="4">
        <v>4.6998538627391362</v>
      </c>
      <c r="C371" s="5">
        <v>98.273515475890534</v>
      </c>
      <c r="D371" s="4">
        <v>2.9115368232805516</v>
      </c>
      <c r="E371" s="2">
        <f t="shared" si="4"/>
        <v>24.568378868972633</v>
      </c>
      <c r="F371" s="2">
        <f t="shared" si="5"/>
        <v>72.788420582013785</v>
      </c>
      <c r="G371" s="2">
        <f t="shared" si="6"/>
        <v>48.220041713041155</v>
      </c>
      <c r="H371" s="2">
        <f t="shared" si="7"/>
        <v>97.356799450986415</v>
      </c>
      <c r="I371" s="1">
        <v>0</v>
      </c>
    </row>
    <row r="372" spans="1:9" ht="14.25" customHeight="1" x14ac:dyDescent="0.35">
      <c r="A372" s="1">
        <v>985</v>
      </c>
      <c r="B372" s="4">
        <v>5.5346435523973438</v>
      </c>
      <c r="C372" s="5">
        <v>8.0779941770047543</v>
      </c>
      <c r="D372" s="4">
        <v>2.0257947754439365</v>
      </c>
      <c r="E372" s="2">
        <f t="shared" si="4"/>
        <v>2.0194985442511886</v>
      </c>
      <c r="F372" s="2">
        <f t="shared" si="5"/>
        <v>50.644869386098414</v>
      </c>
      <c r="G372" s="2">
        <f t="shared" si="6"/>
        <v>48.625370841847229</v>
      </c>
      <c r="H372" s="2">
        <f t="shared" si="7"/>
        <v>52.664367930349599</v>
      </c>
      <c r="I372" s="1">
        <v>0</v>
      </c>
    </row>
    <row r="373" spans="1:9" ht="14.25" customHeight="1" x14ac:dyDescent="0.35">
      <c r="A373" s="1">
        <v>986</v>
      </c>
      <c r="B373" s="4">
        <v>2.4115912824182164</v>
      </c>
      <c r="C373" s="5">
        <v>50.393289252039395</v>
      </c>
      <c r="D373" s="4">
        <v>1.7902181220919644</v>
      </c>
      <c r="E373" s="2">
        <f t="shared" si="4"/>
        <v>12.598322313009849</v>
      </c>
      <c r="F373" s="2">
        <f t="shared" si="5"/>
        <v>44.75545305229911</v>
      </c>
      <c r="G373" s="2">
        <f t="shared" si="6"/>
        <v>32.157130739289258</v>
      </c>
      <c r="H373" s="2">
        <f t="shared" si="7"/>
        <v>57.353775365308962</v>
      </c>
      <c r="I373" s="1">
        <v>1</v>
      </c>
    </row>
    <row r="374" spans="1:9" ht="14.25" customHeight="1" x14ac:dyDescent="0.35">
      <c r="A374" s="1">
        <v>987</v>
      </c>
      <c r="B374" s="4">
        <v>1.3756345586301699</v>
      </c>
      <c r="C374" s="5">
        <v>95.373356431579467</v>
      </c>
      <c r="D374" s="4">
        <v>1.9373146167541455</v>
      </c>
      <c r="E374" s="2">
        <f t="shared" si="4"/>
        <v>23.843339107894867</v>
      </c>
      <c r="F374" s="2">
        <f t="shared" si="5"/>
        <v>48.432865418853638</v>
      </c>
      <c r="G374" s="2">
        <f t="shared" si="6"/>
        <v>24.589526310958771</v>
      </c>
      <c r="H374" s="2">
        <f t="shared" si="7"/>
        <v>72.276204526748501</v>
      </c>
      <c r="I374" s="1">
        <v>1</v>
      </c>
    </row>
    <row r="375" spans="1:9" ht="14.25" customHeight="1" x14ac:dyDescent="0.35">
      <c r="A375" s="1">
        <v>991</v>
      </c>
      <c r="B375" s="4">
        <v>2.5363075701339888</v>
      </c>
      <c r="C375" s="5">
        <v>67.673303917698533</v>
      </c>
      <c r="D375" s="4">
        <v>1.389346664224719</v>
      </c>
      <c r="E375" s="2">
        <f t="shared" si="4"/>
        <v>16.918325979424633</v>
      </c>
      <c r="F375" s="2">
        <f t="shared" si="5"/>
        <v>34.733666605617977</v>
      </c>
      <c r="G375" s="2">
        <f t="shared" si="6"/>
        <v>17.815340626193343</v>
      </c>
      <c r="H375" s="2">
        <f t="shared" si="7"/>
        <v>51.651992585042606</v>
      </c>
      <c r="I375" s="1">
        <v>0</v>
      </c>
    </row>
    <row r="376" spans="1:9" ht="14.25" customHeight="1" x14ac:dyDescent="0.35">
      <c r="A376" s="1">
        <v>993</v>
      </c>
      <c r="B376" s="4">
        <v>1.5132776239129375</v>
      </c>
      <c r="C376" s="5">
        <v>66.625816347792181</v>
      </c>
      <c r="D376" s="4">
        <v>0.92813423667261141</v>
      </c>
      <c r="E376" s="2">
        <f t="shared" si="4"/>
        <v>16.656454086948045</v>
      </c>
      <c r="F376" s="2">
        <f t="shared" si="5"/>
        <v>23.203355916815287</v>
      </c>
      <c r="G376" s="2">
        <f t="shared" si="6"/>
        <v>6.5469018298672417</v>
      </c>
      <c r="H376" s="2">
        <f t="shared" si="7"/>
        <v>39.859810003763329</v>
      </c>
      <c r="I376" s="1">
        <v>0</v>
      </c>
    </row>
    <row r="377" spans="1:9" ht="14.25" customHeight="1" x14ac:dyDescent="0.35">
      <c r="A377" s="1">
        <v>998</v>
      </c>
      <c r="B377" s="4">
        <v>2.2911272481943898</v>
      </c>
      <c r="C377" s="5">
        <v>57.059042490342385</v>
      </c>
      <c r="D377" s="4">
        <v>1.5838474953129333</v>
      </c>
      <c r="E377" s="2">
        <f t="shared" si="4"/>
        <v>14.264760622585596</v>
      </c>
      <c r="F377" s="2">
        <f t="shared" si="5"/>
        <v>39.596187382823331</v>
      </c>
      <c r="G377" s="2">
        <f t="shared" si="6"/>
        <v>25.331426760237733</v>
      </c>
      <c r="H377" s="2">
        <f t="shared" si="7"/>
        <v>53.860948005408929</v>
      </c>
      <c r="I377" s="1">
        <v>1</v>
      </c>
    </row>
    <row r="378" spans="1:9" ht="14.25" customHeight="1" x14ac:dyDescent="0.35">
      <c r="A378" s="1">
        <v>1004</v>
      </c>
      <c r="B378" s="4">
        <v>1.6551848363266464</v>
      </c>
      <c r="C378" s="5">
        <v>81.82849066644296</v>
      </c>
      <c r="D378" s="4">
        <v>0.66866328616416282</v>
      </c>
      <c r="E378" s="2">
        <f t="shared" si="4"/>
        <v>20.45712266661074</v>
      </c>
      <c r="F378" s="2">
        <f t="shared" si="5"/>
        <v>16.716582154104071</v>
      </c>
      <c r="G378" s="2">
        <f t="shared" si="6"/>
        <v>-3.7405405125066693</v>
      </c>
      <c r="H378" s="2">
        <f t="shared" si="7"/>
        <v>37.173704820714811</v>
      </c>
      <c r="I378" s="1">
        <v>0</v>
      </c>
    </row>
    <row r="379" spans="1:9" ht="14.25" customHeight="1" x14ac:dyDescent="0.35">
      <c r="A379" s="1">
        <v>1008</v>
      </c>
      <c r="B379" s="4">
        <v>7.0951245721733178</v>
      </c>
      <c r="C379" s="5">
        <v>28.809419209094543</v>
      </c>
      <c r="D379" s="4">
        <v>2.8451114674449127</v>
      </c>
      <c r="E379" s="2">
        <f t="shared" si="4"/>
        <v>7.2023548022736357</v>
      </c>
      <c r="F379" s="2">
        <f t="shared" si="5"/>
        <v>71.127786686122818</v>
      </c>
      <c r="G379" s="2">
        <f t="shared" si="6"/>
        <v>63.925431883849186</v>
      </c>
      <c r="H379" s="2">
        <f t="shared" si="7"/>
        <v>78.33014148839645</v>
      </c>
      <c r="I379" s="1">
        <v>0</v>
      </c>
    </row>
    <row r="380" spans="1:9" ht="14.25" customHeight="1" x14ac:dyDescent="0.35">
      <c r="A380" s="1">
        <v>1010</v>
      </c>
      <c r="B380" s="4">
        <v>2.9190005587012378</v>
      </c>
      <c r="C380" s="5">
        <v>12.621180904158525</v>
      </c>
      <c r="D380" s="4">
        <v>0.39844708922441924</v>
      </c>
      <c r="E380" s="2">
        <f t="shared" si="4"/>
        <v>3.1552952260396312</v>
      </c>
      <c r="F380" s="2">
        <f t="shared" si="5"/>
        <v>9.9611772306104811</v>
      </c>
      <c r="G380" s="2">
        <f t="shared" si="6"/>
        <v>6.8058820045708499</v>
      </c>
      <c r="H380" s="2">
        <f t="shared" si="7"/>
        <v>13.116472456650111</v>
      </c>
      <c r="I380" s="1">
        <v>0</v>
      </c>
    </row>
    <row r="381" spans="1:9" ht="14.25" customHeight="1" x14ac:dyDescent="0.35">
      <c r="A381" s="1">
        <v>1012</v>
      </c>
      <c r="B381" s="4">
        <v>1.4930828690322018</v>
      </c>
      <c r="C381" s="5">
        <v>5.7791552874007284</v>
      </c>
      <c r="D381" s="4">
        <v>2.2217941189331287</v>
      </c>
      <c r="E381" s="2">
        <f t="shared" si="4"/>
        <v>1.4447888218501821</v>
      </c>
      <c r="F381" s="2">
        <f t="shared" si="5"/>
        <v>55.544852973328219</v>
      </c>
      <c r="G381" s="2">
        <f t="shared" si="6"/>
        <v>54.100064151478037</v>
      </c>
      <c r="H381" s="2">
        <f t="shared" si="7"/>
        <v>56.9896417951784</v>
      </c>
      <c r="I381" s="1">
        <v>1</v>
      </c>
    </row>
    <row r="382" spans="1:9" ht="14.25" customHeight="1" x14ac:dyDescent="0.35">
      <c r="A382" s="1">
        <v>1014</v>
      </c>
      <c r="B382" s="4">
        <v>9.0506776562361004</v>
      </c>
      <c r="C382" s="5">
        <v>0.71198952660367354</v>
      </c>
      <c r="D382" s="4">
        <v>2.3017811631630205</v>
      </c>
      <c r="E382" s="2">
        <f t="shared" si="4"/>
        <v>0.17799738165091838</v>
      </c>
      <c r="F382" s="2">
        <f t="shared" si="5"/>
        <v>57.54452907907551</v>
      </c>
      <c r="G382" s="2">
        <f t="shared" si="6"/>
        <v>57.366531697424591</v>
      </c>
      <c r="H382" s="2">
        <f t="shared" si="7"/>
        <v>57.722526460726428</v>
      </c>
      <c r="I382" s="1">
        <v>0</v>
      </c>
    </row>
    <row r="383" spans="1:9" ht="14.25" customHeight="1" x14ac:dyDescent="0.35">
      <c r="A383" s="1">
        <v>1015</v>
      </c>
      <c r="B383" s="4">
        <v>6.5411651133804725</v>
      </c>
      <c r="C383" s="5">
        <v>2.3460787476847988</v>
      </c>
      <c r="D383" s="4">
        <v>2.0027434938355491</v>
      </c>
      <c r="E383" s="2">
        <f t="shared" si="4"/>
        <v>0.58651968692119971</v>
      </c>
      <c r="F383" s="2">
        <f t="shared" si="5"/>
        <v>50.06858734588873</v>
      </c>
      <c r="G383" s="2">
        <f t="shared" si="6"/>
        <v>49.48206765896753</v>
      </c>
      <c r="H383" s="2">
        <f t="shared" si="7"/>
        <v>50.65510703280993</v>
      </c>
      <c r="I383" s="1">
        <v>0</v>
      </c>
    </row>
    <row r="384" spans="1:9" ht="14.25" customHeight="1" x14ac:dyDescent="0.35">
      <c r="A384" s="1">
        <v>1018</v>
      </c>
      <c r="B384" s="4">
        <v>0.73687519353835773</v>
      </c>
      <c r="C384" s="5">
        <v>78.803168627292365</v>
      </c>
      <c r="D384" s="4">
        <v>1.0888787614430413</v>
      </c>
      <c r="E384" s="2">
        <f t="shared" si="4"/>
        <v>19.700792156823091</v>
      </c>
      <c r="F384" s="2">
        <f t="shared" si="5"/>
        <v>27.221969036076032</v>
      </c>
      <c r="G384" s="2">
        <f t="shared" si="6"/>
        <v>7.5211768792529412</v>
      </c>
      <c r="H384" s="2">
        <f t="shared" si="7"/>
        <v>46.922761192899124</v>
      </c>
      <c r="I384" s="1">
        <v>1</v>
      </c>
    </row>
    <row r="385" spans="1:9" ht="14.25" customHeight="1" x14ac:dyDescent="0.35">
      <c r="A385" s="1">
        <v>1019</v>
      </c>
      <c r="B385" s="4">
        <v>5.5401622001281705</v>
      </c>
      <c r="C385" s="5">
        <v>40.666692342092162</v>
      </c>
      <c r="D385" s="4">
        <v>3.222612949421094</v>
      </c>
      <c r="E385" s="2">
        <f t="shared" si="4"/>
        <v>10.16667308552304</v>
      </c>
      <c r="F385" s="2">
        <f t="shared" si="5"/>
        <v>80.565323735527343</v>
      </c>
      <c r="G385" s="2">
        <f t="shared" si="6"/>
        <v>70.398650650004299</v>
      </c>
      <c r="H385" s="2">
        <f t="shared" si="7"/>
        <v>90.731996821050387</v>
      </c>
      <c r="I385" s="1">
        <v>1</v>
      </c>
    </row>
    <row r="386" spans="1:9" ht="14.25" customHeight="1" x14ac:dyDescent="0.35">
      <c r="A386" s="1">
        <v>1022</v>
      </c>
      <c r="B386" s="4">
        <v>0.72125501653300006</v>
      </c>
      <c r="C386" s="5">
        <v>48.109380688112488</v>
      </c>
      <c r="D386" s="4">
        <v>0.39693354871659109</v>
      </c>
      <c r="E386" s="2">
        <f t="shared" si="4"/>
        <v>12.027345172028122</v>
      </c>
      <c r="F386" s="2">
        <f t="shared" si="5"/>
        <v>9.9233387179147776</v>
      </c>
      <c r="G386" s="2">
        <f t="shared" si="6"/>
        <v>-2.1040064541133443</v>
      </c>
      <c r="H386" s="2">
        <f t="shared" si="7"/>
        <v>21.950683889942901</v>
      </c>
      <c r="I386" s="1">
        <v>0</v>
      </c>
    </row>
    <row r="387" spans="1:9" ht="14.25" customHeight="1" x14ac:dyDescent="0.35">
      <c r="A387" s="1">
        <v>1024</v>
      </c>
      <c r="B387" s="4">
        <v>2.2098162938863988</v>
      </c>
      <c r="C387" s="5">
        <v>4.4807275882456583</v>
      </c>
      <c r="D387" s="4">
        <v>0.62211634802503069</v>
      </c>
      <c r="E387" s="2">
        <f t="shared" si="4"/>
        <v>1.1201818970614146</v>
      </c>
      <c r="F387" s="2">
        <f t="shared" si="5"/>
        <v>15.552908700625768</v>
      </c>
      <c r="G387" s="2">
        <f t="shared" si="6"/>
        <v>14.432726803564353</v>
      </c>
      <c r="H387" s="2">
        <f t="shared" si="7"/>
        <v>16.673090597687182</v>
      </c>
      <c r="I387" s="1">
        <v>0</v>
      </c>
    </row>
    <row r="388" spans="1:9" ht="14.25" customHeight="1" x14ac:dyDescent="0.35">
      <c r="A388" s="1">
        <v>1027</v>
      </c>
      <c r="B388" s="4">
        <v>8.9329644561621961</v>
      </c>
      <c r="C388" s="5">
        <v>78.27337184140039</v>
      </c>
      <c r="D388" s="4">
        <v>3.1000093499060086</v>
      </c>
      <c r="E388" s="2">
        <f t="shared" si="4"/>
        <v>19.568342960350098</v>
      </c>
      <c r="F388" s="2">
        <f t="shared" si="5"/>
        <v>77.500233747650213</v>
      </c>
      <c r="G388" s="2">
        <f t="shared" si="6"/>
        <v>57.931890787300119</v>
      </c>
      <c r="H388" s="2">
        <f t="shared" si="7"/>
        <v>97.068576708000307</v>
      </c>
      <c r="I388" s="1">
        <v>0</v>
      </c>
    </row>
    <row r="389" spans="1:9" ht="14.25" customHeight="1" x14ac:dyDescent="0.35">
      <c r="A389" s="1">
        <v>1030</v>
      </c>
      <c r="B389" s="4">
        <v>2.4744148419726821</v>
      </c>
      <c r="C389" s="5">
        <v>29.472610184926829</v>
      </c>
      <c r="D389" s="4">
        <v>0.66453752551288514</v>
      </c>
      <c r="E389" s="2">
        <f t="shared" si="4"/>
        <v>7.3681525462317072</v>
      </c>
      <c r="F389" s="2">
        <f t="shared" si="5"/>
        <v>16.613438137822129</v>
      </c>
      <c r="G389" s="2">
        <f t="shared" si="6"/>
        <v>9.245285591590422</v>
      </c>
      <c r="H389" s="2">
        <f t="shared" si="7"/>
        <v>23.981590684053835</v>
      </c>
      <c r="I389" s="1">
        <v>0</v>
      </c>
    </row>
    <row r="390" spans="1:9" ht="14.25" customHeight="1" x14ac:dyDescent="0.35">
      <c r="A390" s="1">
        <v>1032</v>
      </c>
      <c r="B390" s="4">
        <v>2.5798664992256324</v>
      </c>
      <c r="C390" s="5">
        <v>40.041023926166311</v>
      </c>
      <c r="D390" s="4">
        <v>2.6549798139529712</v>
      </c>
      <c r="E390" s="2">
        <f t="shared" si="4"/>
        <v>10.010255981541578</v>
      </c>
      <c r="F390" s="2">
        <f t="shared" si="5"/>
        <v>66.374495348824283</v>
      </c>
      <c r="G390" s="2">
        <f t="shared" si="6"/>
        <v>56.364239367282707</v>
      </c>
      <c r="H390" s="2">
        <f t="shared" si="7"/>
        <v>76.384751330365859</v>
      </c>
      <c r="I390" s="1">
        <v>1</v>
      </c>
    </row>
    <row r="391" spans="1:9" ht="14.25" customHeight="1" x14ac:dyDescent="0.35">
      <c r="A391" s="1">
        <v>1035</v>
      </c>
      <c r="B391" s="4">
        <v>6.5297033608495365</v>
      </c>
      <c r="C391" s="5">
        <v>2.054150321596504E-2</v>
      </c>
      <c r="D391" s="4">
        <v>1.3756516629534754</v>
      </c>
      <c r="E391" s="2">
        <f t="shared" si="4"/>
        <v>5.13537580399126E-3</v>
      </c>
      <c r="F391" s="2">
        <f t="shared" si="5"/>
        <v>34.391291573836888</v>
      </c>
      <c r="G391" s="2">
        <f t="shared" si="6"/>
        <v>34.3861561980329</v>
      </c>
      <c r="H391" s="2">
        <f t="shared" si="7"/>
        <v>34.396426949640876</v>
      </c>
      <c r="I391" s="1">
        <v>0</v>
      </c>
    </row>
    <row r="392" spans="1:9" ht="14.25" customHeight="1" x14ac:dyDescent="0.35">
      <c r="A392" s="1">
        <v>1039</v>
      </c>
      <c r="B392" s="4">
        <v>1.0754053635802263</v>
      </c>
      <c r="C392" s="5">
        <v>43.87476067214785</v>
      </c>
      <c r="D392" s="4">
        <v>1.4884236200128798</v>
      </c>
      <c r="E392" s="2">
        <f t="shared" si="4"/>
        <v>10.968690168036963</v>
      </c>
      <c r="F392" s="2">
        <f t="shared" si="5"/>
        <v>37.210590500321992</v>
      </c>
      <c r="G392" s="2">
        <f t="shared" si="6"/>
        <v>26.241900332285027</v>
      </c>
      <c r="H392" s="2">
        <f t="shared" si="7"/>
        <v>48.179280668358956</v>
      </c>
      <c r="I392" s="1">
        <v>1</v>
      </c>
    </row>
    <row r="393" spans="1:9" ht="14.25" customHeight="1" x14ac:dyDescent="0.35">
      <c r="A393" s="1">
        <v>1044</v>
      </c>
      <c r="B393" s="4">
        <v>0.5610562758446358</v>
      </c>
      <c r="C393" s="5">
        <v>84.301423961499964</v>
      </c>
      <c r="D393" s="4">
        <v>2.6492622052295749</v>
      </c>
      <c r="E393" s="2">
        <f t="shared" si="4"/>
        <v>21.075355990374991</v>
      </c>
      <c r="F393" s="2">
        <f t="shared" si="5"/>
        <v>66.231555130739366</v>
      </c>
      <c r="G393" s="2">
        <f t="shared" si="6"/>
        <v>45.156199140364379</v>
      </c>
      <c r="H393" s="2">
        <f t="shared" si="7"/>
        <v>87.306911121114354</v>
      </c>
      <c r="I393" s="1">
        <v>1</v>
      </c>
    </row>
    <row r="394" spans="1:9" ht="14.25" customHeight="1" x14ac:dyDescent="0.35">
      <c r="A394" s="1">
        <v>1046</v>
      </c>
      <c r="B394" s="4">
        <v>9.1551259569421255</v>
      </c>
      <c r="C394" s="5">
        <v>3.8455360611957645</v>
      </c>
      <c r="D394" s="4">
        <v>2.8452920736537575</v>
      </c>
      <c r="E394" s="2">
        <f t="shared" si="4"/>
        <v>0.96138401529894113</v>
      </c>
      <c r="F394" s="2">
        <f t="shared" si="5"/>
        <v>71.132301841343931</v>
      </c>
      <c r="G394" s="2">
        <f t="shared" si="6"/>
        <v>70.170917826044985</v>
      </c>
      <c r="H394" s="2">
        <f t="shared" si="7"/>
        <v>72.093685856642878</v>
      </c>
      <c r="I394" s="1">
        <v>0</v>
      </c>
    </row>
    <row r="395" spans="1:9" ht="14.25" customHeight="1" x14ac:dyDescent="0.35">
      <c r="A395" s="1">
        <v>1047</v>
      </c>
      <c r="B395" s="4">
        <v>9.4827929947116747</v>
      </c>
      <c r="C395" s="5">
        <v>92.764033188611648</v>
      </c>
      <c r="D395" s="4">
        <v>3.165594360793353</v>
      </c>
      <c r="E395" s="2">
        <f t="shared" si="4"/>
        <v>23.191008297152912</v>
      </c>
      <c r="F395" s="2">
        <f t="shared" si="5"/>
        <v>79.139859019833821</v>
      </c>
      <c r="G395" s="2">
        <f t="shared" si="6"/>
        <v>55.948850722680909</v>
      </c>
      <c r="H395" s="2">
        <f t="shared" si="7"/>
        <v>102.33086731698674</v>
      </c>
      <c r="I395" s="1">
        <v>0</v>
      </c>
    </row>
    <row r="396" spans="1:9" ht="14.25" customHeight="1" x14ac:dyDescent="0.35">
      <c r="A396" s="1">
        <v>1049</v>
      </c>
      <c r="B396" s="4">
        <v>2.9952230291617266</v>
      </c>
      <c r="C396" s="5">
        <v>99.086174017006172</v>
      </c>
      <c r="D396" s="4">
        <v>2.7454812486031814</v>
      </c>
      <c r="E396" s="2">
        <f t="shared" si="4"/>
        <v>24.771543504251543</v>
      </c>
      <c r="F396" s="2">
        <f t="shared" si="5"/>
        <v>68.637031215079531</v>
      </c>
      <c r="G396" s="2">
        <f t="shared" si="6"/>
        <v>43.865487710827992</v>
      </c>
      <c r="H396" s="2">
        <f t="shared" si="7"/>
        <v>93.408574719331071</v>
      </c>
      <c r="I396" s="1">
        <v>1</v>
      </c>
    </row>
    <row r="397" spans="1:9" ht="14.25" customHeight="1" x14ac:dyDescent="0.35">
      <c r="A397" s="1">
        <v>1052</v>
      </c>
      <c r="B397" s="4">
        <v>2.307131021340326</v>
      </c>
      <c r="C397" s="5">
        <v>20.272411159752799</v>
      </c>
      <c r="D397" s="4">
        <v>1.5018708748733998</v>
      </c>
      <c r="E397" s="2">
        <f t="shared" si="4"/>
        <v>5.0681027899381998</v>
      </c>
      <c r="F397" s="2">
        <f t="shared" si="5"/>
        <v>37.546771871834991</v>
      </c>
      <c r="G397" s="2">
        <f t="shared" si="6"/>
        <v>32.47866908189679</v>
      </c>
      <c r="H397" s="2">
        <f t="shared" si="7"/>
        <v>42.614874661773193</v>
      </c>
      <c r="I397" s="1">
        <v>1</v>
      </c>
    </row>
    <row r="398" spans="1:9" ht="14.25" customHeight="1" x14ac:dyDescent="0.35">
      <c r="A398" s="1">
        <v>1054</v>
      </c>
      <c r="B398" s="4">
        <v>2.7129259438412436</v>
      </c>
      <c r="C398" s="5">
        <v>56.509569875175025</v>
      </c>
      <c r="D398" s="4">
        <v>3.2262867429078299</v>
      </c>
      <c r="E398" s="2">
        <f t="shared" si="4"/>
        <v>14.127392468793756</v>
      </c>
      <c r="F398" s="2">
        <f t="shared" si="5"/>
        <v>80.657168572695753</v>
      </c>
      <c r="G398" s="2">
        <f t="shared" si="6"/>
        <v>66.529776103901995</v>
      </c>
      <c r="H398" s="2">
        <f t="shared" si="7"/>
        <v>94.784561041489511</v>
      </c>
      <c r="I398" s="1">
        <v>1</v>
      </c>
    </row>
    <row r="399" spans="1:9" ht="14.25" customHeight="1" x14ac:dyDescent="0.35">
      <c r="A399" s="1">
        <v>1056</v>
      </c>
      <c r="B399" s="4">
        <v>1.7749600690362932</v>
      </c>
      <c r="C399" s="5">
        <v>45.96262805801441</v>
      </c>
      <c r="D399" s="4">
        <v>2.8894063146829323</v>
      </c>
      <c r="E399" s="2">
        <f t="shared" si="4"/>
        <v>11.490657014503602</v>
      </c>
      <c r="F399" s="2">
        <f t="shared" si="5"/>
        <v>72.235157867073312</v>
      </c>
      <c r="G399" s="2">
        <f t="shared" si="6"/>
        <v>60.744500852569708</v>
      </c>
      <c r="H399" s="2">
        <f t="shared" si="7"/>
        <v>83.725814881576909</v>
      </c>
      <c r="I399" s="1">
        <v>1</v>
      </c>
    </row>
    <row r="400" spans="1:9" ht="14.25" customHeight="1" x14ac:dyDescent="0.35">
      <c r="A400" s="1">
        <v>1063</v>
      </c>
      <c r="B400" s="4">
        <v>2.7950238911642353</v>
      </c>
      <c r="C400" s="5">
        <v>85.746838630582275</v>
      </c>
      <c r="D400" s="4">
        <v>2.2679801553515504</v>
      </c>
      <c r="E400" s="2">
        <f t="shared" si="4"/>
        <v>21.436709657645569</v>
      </c>
      <c r="F400" s="2">
        <f t="shared" si="5"/>
        <v>56.699503883788758</v>
      </c>
      <c r="G400" s="2">
        <f t="shared" si="6"/>
        <v>35.262794226143185</v>
      </c>
      <c r="H400" s="2">
        <f t="shared" si="7"/>
        <v>78.13621354143433</v>
      </c>
      <c r="I400" s="1">
        <v>1</v>
      </c>
    </row>
    <row r="401" spans="1:9" ht="14.25" customHeight="1" x14ac:dyDescent="0.35">
      <c r="A401" s="1">
        <v>1064</v>
      </c>
      <c r="B401" s="4">
        <v>1.4751298259820844</v>
      </c>
      <c r="C401" s="5">
        <v>30.095372029766708</v>
      </c>
      <c r="D401" s="4">
        <v>1.004126246666198</v>
      </c>
      <c r="E401" s="2">
        <f t="shared" si="4"/>
        <v>7.5238430074416769</v>
      </c>
      <c r="F401" s="2">
        <f t="shared" si="5"/>
        <v>25.103156166654948</v>
      </c>
      <c r="G401" s="2">
        <f t="shared" si="6"/>
        <v>17.579313159213271</v>
      </c>
      <c r="H401" s="2">
        <f t="shared" si="7"/>
        <v>32.626999174096625</v>
      </c>
      <c r="I401" s="1">
        <v>1</v>
      </c>
    </row>
    <row r="402" spans="1:9" ht="14.25" customHeight="1" x14ac:dyDescent="0.35">
      <c r="A402" s="1">
        <v>1065</v>
      </c>
      <c r="B402" s="4">
        <v>4.5046233603596777</v>
      </c>
      <c r="C402" s="5">
        <v>6.6069166427950581</v>
      </c>
      <c r="D402" s="4">
        <v>0.45500751961231134</v>
      </c>
      <c r="E402" s="2">
        <f t="shared" si="4"/>
        <v>1.6517291606987645</v>
      </c>
      <c r="F402" s="2">
        <f t="shared" si="5"/>
        <v>11.375187990307783</v>
      </c>
      <c r="G402" s="2">
        <f t="shared" si="6"/>
        <v>9.7234588296090187</v>
      </c>
      <c r="H402" s="2">
        <f t="shared" si="7"/>
        <v>13.026917151006547</v>
      </c>
      <c r="I402" s="1">
        <v>0</v>
      </c>
    </row>
    <row r="403" spans="1:9" ht="14.25" customHeight="1" x14ac:dyDescent="0.35">
      <c r="A403" s="1">
        <v>1067</v>
      </c>
      <c r="B403" s="4">
        <v>1.4691299285864245</v>
      </c>
      <c r="C403" s="5">
        <v>53.878147348672492</v>
      </c>
      <c r="D403" s="4">
        <v>1.3437220959624536</v>
      </c>
      <c r="E403" s="2">
        <f t="shared" si="4"/>
        <v>13.469536837168123</v>
      </c>
      <c r="F403" s="2">
        <f t="shared" si="5"/>
        <v>33.593052399061342</v>
      </c>
      <c r="G403" s="2">
        <f t="shared" si="6"/>
        <v>20.123515561893221</v>
      </c>
      <c r="H403" s="2">
        <f t="shared" si="7"/>
        <v>47.062589236229464</v>
      </c>
      <c r="I403" s="1">
        <v>1</v>
      </c>
    </row>
    <row r="404" spans="1:9" ht="14.25" customHeight="1" x14ac:dyDescent="0.35">
      <c r="A404" s="1">
        <v>1074</v>
      </c>
      <c r="B404" s="4">
        <v>1.9862065651892213</v>
      </c>
      <c r="C404" s="5">
        <v>63.634642964976607</v>
      </c>
      <c r="D404" s="4">
        <v>1.1383779836233618</v>
      </c>
      <c r="E404" s="2">
        <f t="shared" si="4"/>
        <v>15.908660741244152</v>
      </c>
      <c r="F404" s="2">
        <f t="shared" si="5"/>
        <v>28.459449590584047</v>
      </c>
      <c r="G404" s="2">
        <f t="shared" si="6"/>
        <v>12.550788849339895</v>
      </c>
      <c r="H404" s="2">
        <f t="shared" si="7"/>
        <v>44.368110331828198</v>
      </c>
      <c r="I404" s="1">
        <v>0</v>
      </c>
    </row>
    <row r="405" spans="1:9" ht="14.25" customHeight="1" x14ac:dyDescent="0.35">
      <c r="A405" s="1">
        <v>1078</v>
      </c>
      <c r="B405" s="4">
        <v>3.2795894213496792</v>
      </c>
      <c r="C405" s="5">
        <v>29.479531781631064</v>
      </c>
      <c r="D405" s="4">
        <v>0.43123465675188305</v>
      </c>
      <c r="E405" s="2">
        <f t="shared" si="4"/>
        <v>7.3698829454077659</v>
      </c>
      <c r="F405" s="2">
        <f t="shared" si="5"/>
        <v>10.780866418797077</v>
      </c>
      <c r="G405" s="2">
        <f t="shared" si="6"/>
        <v>3.4109834733893107</v>
      </c>
      <c r="H405" s="2">
        <f t="shared" si="7"/>
        <v>18.150749364204842</v>
      </c>
      <c r="I405" s="1">
        <v>0</v>
      </c>
    </row>
    <row r="406" spans="1:9" ht="14.25" customHeight="1" x14ac:dyDescent="0.35">
      <c r="A406" s="1">
        <v>1082</v>
      </c>
      <c r="B406" s="4">
        <v>1.729068767856885</v>
      </c>
      <c r="C406" s="5">
        <v>45.420018851408585</v>
      </c>
      <c r="D406" s="4">
        <v>1.809564467471497</v>
      </c>
      <c r="E406" s="2">
        <f t="shared" si="4"/>
        <v>11.355004712852146</v>
      </c>
      <c r="F406" s="2">
        <f t="shared" si="5"/>
        <v>45.239111686787425</v>
      </c>
      <c r="G406" s="2">
        <f t="shared" si="6"/>
        <v>33.884106973935275</v>
      </c>
      <c r="H406" s="2">
        <f t="shared" si="7"/>
        <v>56.594116399639574</v>
      </c>
      <c r="I406" s="1">
        <v>1</v>
      </c>
    </row>
    <row r="407" spans="1:9" ht="14.25" customHeight="1" x14ac:dyDescent="0.35">
      <c r="A407" s="1">
        <v>1085</v>
      </c>
      <c r="B407" s="4">
        <v>1.6363603919986169</v>
      </c>
      <c r="C407" s="5">
        <v>67.506713226574078</v>
      </c>
      <c r="D407" s="4">
        <v>1.3057810002077281</v>
      </c>
      <c r="E407" s="2">
        <f t="shared" si="4"/>
        <v>16.87667830664352</v>
      </c>
      <c r="F407" s="2">
        <f t="shared" si="5"/>
        <v>32.644525005193202</v>
      </c>
      <c r="G407" s="2">
        <f t="shared" si="6"/>
        <v>15.767846698549683</v>
      </c>
      <c r="H407" s="2">
        <f t="shared" si="7"/>
        <v>49.521203311836722</v>
      </c>
      <c r="I407" s="1">
        <v>0</v>
      </c>
    </row>
    <row r="408" spans="1:9" ht="14.25" customHeight="1" x14ac:dyDescent="0.35">
      <c r="A408" s="1">
        <v>1086</v>
      </c>
      <c r="B408" s="4">
        <v>3.6511156005401268</v>
      </c>
      <c r="C408" s="5">
        <v>14.824034646941387</v>
      </c>
      <c r="D408" s="4">
        <v>2.6724609240228827</v>
      </c>
      <c r="E408" s="2">
        <f t="shared" si="4"/>
        <v>3.7060086617353467</v>
      </c>
      <c r="F408" s="2">
        <f t="shared" si="5"/>
        <v>66.811523100572074</v>
      </c>
      <c r="G408" s="2">
        <f t="shared" si="6"/>
        <v>63.105514438836728</v>
      </c>
      <c r="H408" s="2">
        <f t="shared" si="7"/>
        <v>70.517531762307428</v>
      </c>
      <c r="I408" s="1">
        <v>1</v>
      </c>
    </row>
    <row r="409" spans="1:9" ht="14.25" customHeight="1" x14ac:dyDescent="0.35">
      <c r="A409" s="1">
        <v>1087</v>
      </c>
      <c r="B409" s="4">
        <v>1.5783199717317542</v>
      </c>
      <c r="C409" s="5">
        <v>16.035180164399755</v>
      </c>
      <c r="D409" s="4">
        <v>0.77773907008629262</v>
      </c>
      <c r="E409" s="2">
        <f t="shared" si="4"/>
        <v>4.0087950410999387</v>
      </c>
      <c r="F409" s="2">
        <f t="shared" si="5"/>
        <v>19.443476752157316</v>
      </c>
      <c r="G409" s="2">
        <f t="shared" si="6"/>
        <v>15.434681711057378</v>
      </c>
      <c r="H409" s="2">
        <f t="shared" si="7"/>
        <v>23.452271793257253</v>
      </c>
      <c r="I409" s="1">
        <v>0</v>
      </c>
    </row>
    <row r="410" spans="1:9" ht="14.25" customHeight="1" x14ac:dyDescent="0.35">
      <c r="A410" s="1">
        <v>1088</v>
      </c>
      <c r="B410" s="4">
        <v>3.4154874991074644</v>
      </c>
      <c r="C410" s="5">
        <v>84.462751139097776</v>
      </c>
      <c r="D410" s="4">
        <v>2.3029474391630611</v>
      </c>
      <c r="E410" s="2">
        <f t="shared" si="4"/>
        <v>21.115687784774444</v>
      </c>
      <c r="F410" s="2">
        <f t="shared" si="5"/>
        <v>57.573685979076529</v>
      </c>
      <c r="G410" s="2">
        <f t="shared" si="6"/>
        <v>36.457998194302085</v>
      </c>
      <c r="H410" s="2">
        <f t="shared" si="7"/>
        <v>78.689373763850966</v>
      </c>
      <c r="I410" s="1">
        <v>1</v>
      </c>
    </row>
    <row r="411" spans="1:9" ht="14.25" customHeight="1" x14ac:dyDescent="0.35">
      <c r="A411" s="1">
        <v>1091</v>
      </c>
      <c r="B411" s="4">
        <v>0.92553085588797601</v>
      </c>
      <c r="C411" s="5">
        <v>88.661022343278077</v>
      </c>
      <c r="D411" s="4">
        <v>2.66143771994926</v>
      </c>
      <c r="E411" s="2">
        <f t="shared" si="4"/>
        <v>22.165255585819519</v>
      </c>
      <c r="F411" s="2">
        <f t="shared" si="5"/>
        <v>66.5359429987315</v>
      </c>
      <c r="G411" s="2">
        <f t="shared" si="6"/>
        <v>44.370687412911977</v>
      </c>
      <c r="H411" s="2">
        <f t="shared" si="7"/>
        <v>88.701198584551022</v>
      </c>
      <c r="I411" s="1">
        <v>1</v>
      </c>
    </row>
    <row r="412" spans="1:9" ht="14.25" customHeight="1" x14ac:dyDescent="0.35">
      <c r="A412" s="1">
        <v>1094</v>
      </c>
      <c r="B412" s="4">
        <v>3.441588237306096</v>
      </c>
      <c r="C412" s="5">
        <v>66.340574915676257</v>
      </c>
      <c r="D412" s="4">
        <v>2.4948461086784777</v>
      </c>
      <c r="E412" s="2">
        <f t="shared" si="4"/>
        <v>16.585143728919064</v>
      </c>
      <c r="F412" s="2">
        <f t="shared" si="5"/>
        <v>62.371152716961944</v>
      </c>
      <c r="G412" s="2">
        <f t="shared" si="6"/>
        <v>45.78600898804288</v>
      </c>
      <c r="H412" s="2">
        <f t="shared" si="7"/>
        <v>78.956296445881009</v>
      </c>
      <c r="I412" s="1">
        <v>1</v>
      </c>
    </row>
    <row r="413" spans="1:9" ht="14.25" customHeight="1" x14ac:dyDescent="0.35">
      <c r="A413" s="1">
        <v>1097</v>
      </c>
      <c r="B413" s="4">
        <v>4.3030294604863446</v>
      </c>
      <c r="C413" s="5">
        <v>99.222808457063948</v>
      </c>
      <c r="D413" s="4">
        <v>2.8395750199815346</v>
      </c>
      <c r="E413" s="2">
        <f t="shared" si="4"/>
        <v>24.805702114265987</v>
      </c>
      <c r="F413" s="2">
        <f t="shared" si="5"/>
        <v>70.989375499538369</v>
      </c>
      <c r="G413" s="2">
        <f t="shared" si="6"/>
        <v>46.183673385272385</v>
      </c>
      <c r="H413" s="2">
        <f t="shared" si="7"/>
        <v>95.795077613804352</v>
      </c>
      <c r="I413" s="1">
        <v>1</v>
      </c>
    </row>
    <row r="414" spans="1:9" ht="14.25" customHeight="1" x14ac:dyDescent="0.35">
      <c r="A414" s="1">
        <v>1098</v>
      </c>
      <c r="B414" s="4">
        <v>0.69534260741033416</v>
      </c>
      <c r="C414" s="5">
        <v>48.204808004424237</v>
      </c>
      <c r="D414" s="4">
        <v>0.31486619023461765</v>
      </c>
      <c r="E414" s="2">
        <f t="shared" si="4"/>
        <v>12.051202001106059</v>
      </c>
      <c r="F414" s="2">
        <f t="shared" si="5"/>
        <v>7.8716547558654408</v>
      </c>
      <c r="G414" s="2">
        <f t="shared" si="6"/>
        <v>-4.1795472452406184</v>
      </c>
      <c r="H414" s="2">
        <f t="shared" si="7"/>
        <v>19.922856756971498</v>
      </c>
      <c r="I414" s="1">
        <v>0</v>
      </c>
    </row>
    <row r="415" spans="1:9" ht="14.25" customHeight="1" x14ac:dyDescent="0.35">
      <c r="A415" s="1">
        <v>1100</v>
      </c>
      <c r="B415" s="4">
        <v>6.6708003843085297</v>
      </c>
      <c r="C415" s="5">
        <v>9.6869700740117146</v>
      </c>
      <c r="D415" s="4">
        <v>3.2266163247432469</v>
      </c>
      <c r="E415" s="2">
        <f t="shared" si="4"/>
        <v>2.4217425185029287</v>
      </c>
      <c r="F415" s="2">
        <f t="shared" si="5"/>
        <v>80.665408118581169</v>
      </c>
      <c r="G415" s="2">
        <f t="shared" si="6"/>
        <v>78.243665600078245</v>
      </c>
      <c r="H415" s="2">
        <f t="shared" si="7"/>
        <v>83.087150637084093</v>
      </c>
      <c r="I415" s="1">
        <v>1</v>
      </c>
    </row>
    <row r="416" spans="1:9" ht="14.25" customHeight="1" x14ac:dyDescent="0.35">
      <c r="A416" s="1">
        <v>1101</v>
      </c>
      <c r="B416" s="4">
        <v>3.7797107747075431</v>
      </c>
      <c r="C416" s="5">
        <v>72.776842359512912</v>
      </c>
      <c r="D416" s="4">
        <v>2.7091732189573881</v>
      </c>
      <c r="E416" s="2">
        <f t="shared" si="4"/>
        <v>18.194210589878228</v>
      </c>
      <c r="F416" s="2">
        <f t="shared" si="5"/>
        <v>67.729330473934695</v>
      </c>
      <c r="G416" s="2">
        <f t="shared" si="6"/>
        <v>49.535119884056471</v>
      </c>
      <c r="H416" s="2">
        <f t="shared" si="7"/>
        <v>85.92354106381292</v>
      </c>
      <c r="I416" s="1">
        <v>1</v>
      </c>
    </row>
    <row r="417" spans="1:9" ht="14.25" customHeight="1" x14ac:dyDescent="0.35">
      <c r="A417" s="1">
        <v>1104</v>
      </c>
      <c r="B417" s="4">
        <v>2.4110866230520589</v>
      </c>
      <c r="C417" s="5">
        <v>87.68549569993786</v>
      </c>
      <c r="D417" s="4">
        <v>1.2292350199888231</v>
      </c>
      <c r="E417" s="2">
        <f t="shared" si="4"/>
        <v>21.921373924984465</v>
      </c>
      <c r="F417" s="2">
        <f t="shared" si="5"/>
        <v>30.730875499720579</v>
      </c>
      <c r="G417" s="2">
        <f t="shared" si="6"/>
        <v>8.8095015747361138</v>
      </c>
      <c r="H417" s="2">
        <f t="shared" si="7"/>
        <v>52.652249424705047</v>
      </c>
      <c r="I417" s="1">
        <v>0</v>
      </c>
    </row>
    <row r="418" spans="1:9" ht="14.25" customHeight="1" x14ac:dyDescent="0.35">
      <c r="A418" s="1">
        <v>1106</v>
      </c>
      <c r="B418" s="4">
        <v>2.9859893627222291</v>
      </c>
      <c r="C418" s="5">
        <v>82.198983453072742</v>
      </c>
      <c r="D418" s="4">
        <v>2.8706130768340863</v>
      </c>
      <c r="E418" s="2">
        <f t="shared" si="4"/>
        <v>20.549745863268186</v>
      </c>
      <c r="F418" s="2">
        <f t="shared" si="5"/>
        <v>71.765326920852161</v>
      </c>
      <c r="G418" s="2">
        <f t="shared" si="6"/>
        <v>51.215581057583975</v>
      </c>
      <c r="H418" s="2">
        <f t="shared" si="7"/>
        <v>92.315072784120346</v>
      </c>
      <c r="I418" s="1">
        <v>1</v>
      </c>
    </row>
    <row r="419" spans="1:9" ht="14.25" customHeight="1" x14ac:dyDescent="0.35">
      <c r="A419" s="1">
        <v>1109</v>
      </c>
      <c r="B419" s="4">
        <v>7.3420481814718386</v>
      </c>
      <c r="C419" s="5">
        <v>0.8047632978806174</v>
      </c>
      <c r="D419" s="4">
        <v>2.5271032160928897</v>
      </c>
      <c r="E419" s="2">
        <f t="shared" si="4"/>
        <v>0.20119082447015435</v>
      </c>
      <c r="F419" s="2">
        <f t="shared" si="5"/>
        <v>63.177580402322242</v>
      </c>
      <c r="G419" s="2">
        <f t="shared" si="6"/>
        <v>62.976389577852089</v>
      </c>
      <c r="H419" s="2">
        <f t="shared" si="7"/>
        <v>63.378771226792395</v>
      </c>
      <c r="I419" s="1">
        <v>0</v>
      </c>
    </row>
    <row r="420" spans="1:9" ht="14.25" customHeight="1" x14ac:dyDescent="0.35">
      <c r="A420" s="1">
        <v>1115</v>
      </c>
      <c r="B420" s="4">
        <v>3.531454338686749</v>
      </c>
      <c r="C420" s="5">
        <v>28.833813284378884</v>
      </c>
      <c r="D420" s="4">
        <v>2.4577556619557446</v>
      </c>
      <c r="E420" s="2">
        <f t="shared" si="4"/>
        <v>7.208453321094721</v>
      </c>
      <c r="F420" s="2">
        <f t="shared" si="5"/>
        <v>61.443891548893617</v>
      </c>
      <c r="G420" s="2">
        <f t="shared" si="6"/>
        <v>54.235438227798895</v>
      </c>
      <c r="H420" s="2">
        <f t="shared" si="7"/>
        <v>68.65234486998834</v>
      </c>
      <c r="I420" s="1">
        <v>1</v>
      </c>
    </row>
    <row r="421" spans="1:9" ht="14.25" customHeight="1" x14ac:dyDescent="0.35">
      <c r="E421" s="2"/>
      <c r="F421" s="2"/>
      <c r="G421" s="2"/>
      <c r="H421" s="2"/>
    </row>
    <row r="422" spans="1:9" ht="14.25" customHeight="1" x14ac:dyDescent="0.35">
      <c r="E422" s="2"/>
      <c r="F422" s="2"/>
      <c r="G422" s="2"/>
      <c r="H422" s="2"/>
    </row>
    <row r="423" spans="1:9" ht="14.25" customHeight="1" x14ac:dyDescent="0.35">
      <c r="E423" s="2"/>
      <c r="F423" s="2"/>
      <c r="G423" s="2"/>
      <c r="H423" s="2"/>
    </row>
    <row r="424" spans="1:9" ht="14.25" customHeight="1" x14ac:dyDescent="0.35">
      <c r="E424" s="2"/>
      <c r="F424" s="2"/>
      <c r="G424" s="2"/>
      <c r="H424" s="2"/>
    </row>
    <row r="425" spans="1:9" ht="14.25" customHeight="1" x14ac:dyDescent="0.35">
      <c r="E425" s="2"/>
      <c r="F425" s="2"/>
      <c r="G425" s="2"/>
      <c r="H425" s="2"/>
    </row>
    <row r="426" spans="1:9" ht="14.25" customHeight="1" x14ac:dyDescent="0.35">
      <c r="E426" s="2"/>
      <c r="F426" s="2"/>
      <c r="G426" s="2"/>
      <c r="H426" s="2"/>
    </row>
    <row r="427" spans="1:9" ht="14.25" customHeight="1" x14ac:dyDescent="0.35">
      <c r="E427" s="2"/>
      <c r="F427" s="2"/>
      <c r="G427" s="2"/>
      <c r="H427" s="2"/>
    </row>
    <row r="428" spans="1:9" ht="14.25" customHeight="1" x14ac:dyDescent="0.35">
      <c r="E428" s="2"/>
      <c r="F428" s="2"/>
      <c r="G428" s="2"/>
      <c r="H428" s="2"/>
    </row>
    <row r="429" spans="1:9" ht="14.25" customHeight="1" x14ac:dyDescent="0.35">
      <c r="E429" s="2"/>
      <c r="F429" s="2"/>
      <c r="G429" s="2"/>
      <c r="H429" s="2"/>
    </row>
    <row r="430" spans="1:9" ht="14.25" customHeight="1" x14ac:dyDescent="0.35">
      <c r="E430" s="2"/>
      <c r="F430" s="2"/>
      <c r="G430" s="2"/>
      <c r="H430" s="2"/>
    </row>
    <row r="431" spans="1:9" ht="14.25" customHeight="1" x14ac:dyDescent="0.35">
      <c r="E431" s="2"/>
      <c r="F431" s="2"/>
      <c r="G431" s="2"/>
      <c r="H431" s="2"/>
    </row>
    <row r="432" spans="1:9" ht="14.25" customHeight="1" x14ac:dyDescent="0.35">
      <c r="E432" s="2"/>
      <c r="F432" s="2"/>
      <c r="G432" s="2"/>
      <c r="H432" s="2"/>
    </row>
    <row r="433" spans="5:8" ht="14.25" customHeight="1" x14ac:dyDescent="0.35">
      <c r="E433" s="2"/>
      <c r="F433" s="2"/>
      <c r="G433" s="2"/>
      <c r="H433" s="2"/>
    </row>
    <row r="434" spans="5:8" ht="14.25" customHeight="1" x14ac:dyDescent="0.35">
      <c r="E434" s="2"/>
      <c r="F434" s="2"/>
      <c r="G434" s="2"/>
      <c r="H434" s="2"/>
    </row>
    <row r="435" spans="5:8" ht="14.25" customHeight="1" x14ac:dyDescent="0.35">
      <c r="E435" s="2"/>
      <c r="F435" s="2"/>
      <c r="G435" s="2"/>
      <c r="H435" s="2"/>
    </row>
    <row r="436" spans="5:8" ht="14.25" customHeight="1" x14ac:dyDescent="0.35">
      <c r="E436" s="2"/>
      <c r="F436" s="2"/>
      <c r="G436" s="2"/>
      <c r="H436" s="2"/>
    </row>
    <row r="437" spans="5:8" ht="14.25" customHeight="1" x14ac:dyDescent="0.35">
      <c r="E437" s="2"/>
      <c r="F437" s="2"/>
      <c r="G437" s="2"/>
      <c r="H437" s="2"/>
    </row>
    <row r="438" spans="5:8" ht="14.25" customHeight="1" x14ac:dyDescent="0.35">
      <c r="E438" s="2"/>
      <c r="F438" s="2"/>
      <c r="G438" s="2"/>
      <c r="H438" s="2"/>
    </row>
    <row r="439" spans="5:8" ht="14.25" customHeight="1" x14ac:dyDescent="0.35">
      <c r="E439" s="2"/>
      <c r="F439" s="2"/>
      <c r="G439" s="2"/>
      <c r="H439" s="2"/>
    </row>
    <row r="440" spans="5:8" ht="14.25" customHeight="1" x14ac:dyDescent="0.35">
      <c r="E440" s="2"/>
      <c r="F440" s="2"/>
      <c r="G440" s="2"/>
      <c r="H440" s="2"/>
    </row>
    <row r="441" spans="5:8" ht="14.25" customHeight="1" x14ac:dyDescent="0.35">
      <c r="E441" s="2"/>
      <c r="F441" s="2"/>
      <c r="G441" s="2"/>
      <c r="H441" s="2"/>
    </row>
    <row r="442" spans="5:8" ht="14.25" customHeight="1" x14ac:dyDescent="0.35">
      <c r="E442" s="2"/>
      <c r="F442" s="2"/>
      <c r="G442" s="2"/>
      <c r="H442" s="2"/>
    </row>
    <row r="443" spans="5:8" ht="14.25" customHeight="1" x14ac:dyDescent="0.35">
      <c r="E443" s="2"/>
      <c r="F443" s="2"/>
      <c r="G443" s="2"/>
      <c r="H443" s="2"/>
    </row>
    <row r="444" spans="5:8" ht="14.25" customHeight="1" x14ac:dyDescent="0.35">
      <c r="E444" s="2"/>
      <c r="F444" s="2"/>
      <c r="G444" s="2"/>
      <c r="H444" s="2"/>
    </row>
    <row r="445" spans="5:8" ht="14.25" customHeight="1" x14ac:dyDescent="0.35">
      <c r="E445" s="2"/>
      <c r="F445" s="2"/>
      <c r="G445" s="2"/>
      <c r="H445" s="2"/>
    </row>
    <row r="446" spans="5:8" ht="14.25" customHeight="1" x14ac:dyDescent="0.35">
      <c r="E446" s="2"/>
      <c r="F446" s="2"/>
      <c r="G446" s="2"/>
      <c r="H446" s="2"/>
    </row>
    <row r="447" spans="5:8" ht="14.25" customHeight="1" x14ac:dyDescent="0.35">
      <c r="E447" s="2"/>
      <c r="F447" s="2"/>
      <c r="G447" s="2"/>
      <c r="H447" s="2"/>
    </row>
    <row r="448" spans="5:8" ht="14.25" customHeight="1" x14ac:dyDescent="0.35">
      <c r="E448" s="2"/>
      <c r="F448" s="2"/>
      <c r="G448" s="2"/>
      <c r="H448" s="2"/>
    </row>
    <row r="449" spans="5:8" ht="14.25" customHeight="1" x14ac:dyDescent="0.35">
      <c r="E449" s="2"/>
      <c r="F449" s="2"/>
      <c r="G449" s="2"/>
      <c r="H449" s="2"/>
    </row>
    <row r="450" spans="5:8" ht="14.25" customHeight="1" x14ac:dyDescent="0.35">
      <c r="E450" s="2"/>
      <c r="F450" s="2"/>
      <c r="G450" s="2"/>
      <c r="H450" s="2"/>
    </row>
    <row r="451" spans="5:8" ht="14.25" customHeight="1" x14ac:dyDescent="0.35">
      <c r="E451" s="2"/>
      <c r="F451" s="2"/>
      <c r="G451" s="2"/>
      <c r="H451" s="2"/>
    </row>
    <row r="452" spans="5:8" ht="14.25" customHeight="1" x14ac:dyDescent="0.35">
      <c r="E452" s="2"/>
      <c r="F452" s="2"/>
      <c r="G452" s="2"/>
      <c r="H452" s="2"/>
    </row>
    <row r="453" spans="5:8" ht="14.25" customHeight="1" x14ac:dyDescent="0.35">
      <c r="E453" s="2"/>
      <c r="F453" s="2"/>
      <c r="G453" s="2"/>
      <c r="H453" s="2"/>
    </row>
    <row r="454" spans="5:8" ht="14.25" customHeight="1" x14ac:dyDescent="0.35">
      <c r="E454" s="2"/>
      <c r="F454" s="2"/>
      <c r="G454" s="2"/>
      <c r="H454" s="2"/>
    </row>
    <row r="455" spans="5:8" ht="14.25" customHeight="1" x14ac:dyDescent="0.35">
      <c r="E455" s="2"/>
      <c r="F455" s="2"/>
      <c r="G455" s="2"/>
      <c r="H455" s="2"/>
    </row>
    <row r="456" spans="5:8" ht="14.25" customHeight="1" x14ac:dyDescent="0.35">
      <c r="E456" s="2"/>
      <c r="F456" s="2"/>
      <c r="G456" s="2"/>
      <c r="H456" s="2"/>
    </row>
    <row r="457" spans="5:8" ht="14.25" customHeight="1" x14ac:dyDescent="0.35">
      <c r="E457" s="2"/>
      <c r="F457" s="2"/>
      <c r="G457" s="2"/>
      <c r="H457" s="2"/>
    </row>
    <row r="458" spans="5:8" ht="14.25" customHeight="1" x14ac:dyDescent="0.35">
      <c r="E458" s="2"/>
      <c r="F458" s="2"/>
      <c r="G458" s="2"/>
      <c r="H458" s="2"/>
    </row>
    <row r="459" spans="5:8" ht="14.25" customHeight="1" x14ac:dyDescent="0.35">
      <c r="E459" s="2"/>
      <c r="F459" s="2"/>
      <c r="G459" s="2"/>
      <c r="H459" s="2"/>
    </row>
    <row r="460" spans="5:8" ht="14.25" customHeight="1" x14ac:dyDescent="0.35">
      <c r="E460" s="2"/>
      <c r="F460" s="2"/>
      <c r="G460" s="2"/>
      <c r="H460" s="2"/>
    </row>
    <row r="461" spans="5:8" ht="14.25" customHeight="1" x14ac:dyDescent="0.35">
      <c r="E461" s="2"/>
      <c r="F461" s="2"/>
      <c r="G461" s="2"/>
      <c r="H461" s="2"/>
    </row>
    <row r="462" spans="5:8" ht="14.25" customHeight="1" x14ac:dyDescent="0.35">
      <c r="E462" s="2"/>
      <c r="F462" s="2"/>
      <c r="G462" s="2"/>
      <c r="H462" s="2"/>
    </row>
    <row r="463" spans="5:8" ht="14.25" customHeight="1" x14ac:dyDescent="0.35">
      <c r="E463" s="2"/>
      <c r="F463" s="2"/>
      <c r="G463" s="2"/>
      <c r="H463" s="2"/>
    </row>
    <row r="464" spans="5:8" ht="14.25" customHeight="1" x14ac:dyDescent="0.35">
      <c r="E464" s="2"/>
      <c r="F464" s="2"/>
      <c r="G464" s="2"/>
      <c r="H464" s="2"/>
    </row>
    <row r="465" spans="5:8" ht="14.25" customHeight="1" x14ac:dyDescent="0.35">
      <c r="E465" s="2"/>
      <c r="F465" s="2"/>
      <c r="G465" s="2"/>
      <c r="H465" s="2"/>
    </row>
    <row r="466" spans="5:8" ht="14.25" customHeight="1" x14ac:dyDescent="0.35">
      <c r="E466" s="2"/>
      <c r="F466" s="2"/>
      <c r="G466" s="2"/>
      <c r="H466" s="2"/>
    </row>
    <row r="467" spans="5:8" ht="14.25" customHeight="1" x14ac:dyDescent="0.35">
      <c r="E467" s="2"/>
      <c r="F467" s="2"/>
      <c r="G467" s="2"/>
      <c r="H467" s="2"/>
    </row>
    <row r="468" spans="5:8" ht="14.25" customHeight="1" x14ac:dyDescent="0.35">
      <c r="E468" s="2"/>
      <c r="F468" s="2"/>
      <c r="G468" s="2"/>
      <c r="H468" s="2"/>
    </row>
    <row r="469" spans="5:8" ht="14.25" customHeight="1" x14ac:dyDescent="0.35">
      <c r="E469" s="2"/>
      <c r="F469" s="2"/>
      <c r="G469" s="2"/>
      <c r="H469" s="2"/>
    </row>
    <row r="470" spans="5:8" ht="14.25" customHeight="1" x14ac:dyDescent="0.35">
      <c r="E470" s="2"/>
      <c r="F470" s="2"/>
      <c r="G470" s="2"/>
      <c r="H470" s="2"/>
    </row>
    <row r="471" spans="5:8" ht="14.25" customHeight="1" x14ac:dyDescent="0.35">
      <c r="E471" s="2"/>
      <c r="F471" s="2"/>
      <c r="G471" s="2"/>
      <c r="H471" s="2"/>
    </row>
    <row r="472" spans="5:8" ht="14.25" customHeight="1" x14ac:dyDescent="0.35">
      <c r="E472" s="2"/>
      <c r="F472" s="2"/>
      <c r="G472" s="2"/>
      <c r="H472" s="2"/>
    </row>
    <row r="473" spans="5:8" ht="14.25" customHeight="1" x14ac:dyDescent="0.35">
      <c r="E473" s="2"/>
      <c r="F473" s="2"/>
      <c r="G473" s="2"/>
      <c r="H473" s="2"/>
    </row>
    <row r="474" spans="5:8" ht="14.25" customHeight="1" x14ac:dyDescent="0.35">
      <c r="E474" s="2"/>
      <c r="F474" s="2"/>
      <c r="G474" s="2"/>
      <c r="H474" s="2"/>
    </row>
    <row r="475" spans="5:8" ht="14.25" customHeight="1" x14ac:dyDescent="0.35">
      <c r="E475" s="2"/>
      <c r="F475" s="2"/>
      <c r="G475" s="2"/>
      <c r="H475" s="2"/>
    </row>
    <row r="476" spans="5:8" ht="14.25" customHeight="1" x14ac:dyDescent="0.35">
      <c r="E476" s="2"/>
      <c r="F476" s="2"/>
      <c r="G476" s="2"/>
      <c r="H476" s="2"/>
    </row>
    <row r="477" spans="5:8" ht="14.25" customHeight="1" x14ac:dyDescent="0.35">
      <c r="E477" s="2"/>
      <c r="F477" s="2"/>
      <c r="G477" s="2"/>
      <c r="H477" s="2"/>
    </row>
    <row r="478" spans="5:8" ht="14.25" customHeight="1" x14ac:dyDescent="0.35">
      <c r="E478" s="2"/>
      <c r="F478" s="2"/>
      <c r="G478" s="2"/>
      <c r="H478" s="2"/>
    </row>
    <row r="479" spans="5:8" ht="14.25" customHeight="1" x14ac:dyDescent="0.35">
      <c r="E479" s="2"/>
      <c r="F479" s="2"/>
      <c r="G479" s="2"/>
      <c r="H479" s="2"/>
    </row>
    <row r="480" spans="5:8" ht="14.25" customHeight="1" x14ac:dyDescent="0.35">
      <c r="E480" s="2"/>
      <c r="F480" s="2"/>
      <c r="G480" s="2"/>
      <c r="H480" s="2"/>
    </row>
    <row r="481" spans="5:8" ht="14.25" customHeight="1" x14ac:dyDescent="0.35">
      <c r="E481" s="2"/>
      <c r="F481" s="2"/>
      <c r="G481" s="2"/>
      <c r="H481" s="2"/>
    </row>
    <row r="482" spans="5:8" ht="14.25" customHeight="1" x14ac:dyDescent="0.35">
      <c r="E482" s="2"/>
      <c r="F482" s="2"/>
      <c r="G482" s="2"/>
      <c r="H482" s="2"/>
    </row>
    <row r="483" spans="5:8" ht="14.25" customHeight="1" x14ac:dyDescent="0.35">
      <c r="E483" s="2"/>
      <c r="F483" s="2"/>
      <c r="G483" s="2"/>
      <c r="H483" s="2"/>
    </row>
    <row r="484" spans="5:8" ht="14.25" customHeight="1" x14ac:dyDescent="0.35">
      <c r="E484" s="2"/>
      <c r="F484" s="2"/>
      <c r="G484" s="2"/>
      <c r="H484" s="2"/>
    </row>
    <row r="485" spans="5:8" ht="14.25" customHeight="1" x14ac:dyDescent="0.35">
      <c r="E485" s="2"/>
      <c r="F485" s="2"/>
      <c r="G485" s="2"/>
      <c r="H485" s="2"/>
    </row>
    <row r="486" spans="5:8" ht="14.25" customHeight="1" x14ac:dyDescent="0.35">
      <c r="E486" s="2"/>
      <c r="F486" s="2"/>
      <c r="G486" s="2"/>
      <c r="H486" s="2"/>
    </row>
    <row r="487" spans="5:8" ht="14.25" customHeight="1" x14ac:dyDescent="0.35">
      <c r="E487" s="2"/>
      <c r="F487" s="2"/>
      <c r="G487" s="2"/>
      <c r="H487" s="2"/>
    </row>
    <row r="488" spans="5:8" ht="14.25" customHeight="1" x14ac:dyDescent="0.35">
      <c r="E488" s="2"/>
      <c r="F488" s="2"/>
      <c r="G488" s="2"/>
      <c r="H488" s="2"/>
    </row>
    <row r="489" spans="5:8" ht="14.25" customHeight="1" x14ac:dyDescent="0.35">
      <c r="E489" s="2"/>
      <c r="F489" s="2"/>
      <c r="G489" s="2"/>
      <c r="H489" s="2"/>
    </row>
    <row r="490" spans="5:8" ht="14.25" customHeight="1" x14ac:dyDescent="0.35">
      <c r="E490" s="2"/>
      <c r="F490" s="2"/>
      <c r="G490" s="2"/>
      <c r="H490" s="2"/>
    </row>
    <row r="491" spans="5:8" ht="14.25" customHeight="1" x14ac:dyDescent="0.35">
      <c r="E491" s="2"/>
      <c r="F491" s="2"/>
      <c r="G491" s="2"/>
      <c r="H491" s="2"/>
    </row>
    <row r="492" spans="5:8" ht="14.25" customHeight="1" x14ac:dyDescent="0.35">
      <c r="E492" s="2"/>
      <c r="F492" s="2"/>
      <c r="G492" s="2"/>
      <c r="H492" s="2"/>
    </row>
    <row r="493" spans="5:8" ht="14.25" customHeight="1" x14ac:dyDescent="0.35">
      <c r="E493" s="2"/>
      <c r="F493" s="2"/>
      <c r="G493" s="2"/>
      <c r="H493" s="2"/>
    </row>
    <row r="494" spans="5:8" ht="14.25" customHeight="1" x14ac:dyDescent="0.35">
      <c r="E494" s="2"/>
      <c r="F494" s="2"/>
      <c r="G494" s="2"/>
      <c r="H494" s="2"/>
    </row>
    <row r="495" spans="5:8" ht="14.25" customHeight="1" x14ac:dyDescent="0.35">
      <c r="E495" s="2"/>
      <c r="F495" s="2"/>
      <c r="G495" s="2"/>
      <c r="H495" s="2"/>
    </row>
    <row r="496" spans="5:8" ht="14.25" customHeight="1" x14ac:dyDescent="0.35">
      <c r="E496" s="2"/>
      <c r="F496" s="2"/>
      <c r="G496" s="2"/>
      <c r="H496" s="2"/>
    </row>
    <row r="497" spans="5:8" ht="14.25" customHeight="1" x14ac:dyDescent="0.35">
      <c r="E497" s="2"/>
      <c r="F497" s="2"/>
      <c r="G497" s="2"/>
      <c r="H497" s="2"/>
    </row>
    <row r="498" spans="5:8" ht="14.25" customHeight="1" x14ac:dyDescent="0.35">
      <c r="E498" s="2"/>
      <c r="F498" s="2"/>
      <c r="G498" s="2"/>
      <c r="H498" s="2"/>
    </row>
    <row r="499" spans="5:8" ht="14.25" customHeight="1" x14ac:dyDescent="0.35">
      <c r="E499" s="2"/>
      <c r="F499" s="2"/>
      <c r="G499" s="2"/>
      <c r="H499" s="2"/>
    </row>
    <row r="500" spans="5:8" ht="14.25" customHeight="1" x14ac:dyDescent="0.35">
      <c r="E500" s="2"/>
      <c r="F500" s="2"/>
      <c r="G500" s="2"/>
      <c r="H500" s="2"/>
    </row>
    <row r="501" spans="5:8" ht="14.25" customHeight="1" x14ac:dyDescent="0.35">
      <c r="E501" s="2"/>
      <c r="F501" s="2"/>
      <c r="G501" s="2"/>
      <c r="H501" s="2"/>
    </row>
    <row r="502" spans="5:8" ht="14.25" customHeight="1" x14ac:dyDescent="0.35">
      <c r="E502" s="2"/>
      <c r="F502" s="2"/>
      <c r="G502" s="2"/>
      <c r="H502" s="2"/>
    </row>
    <row r="503" spans="5:8" ht="14.25" customHeight="1" x14ac:dyDescent="0.35">
      <c r="E503" s="2"/>
      <c r="F503" s="2"/>
      <c r="G503" s="2"/>
      <c r="H503" s="2"/>
    </row>
    <row r="504" spans="5:8" ht="14.25" customHeight="1" x14ac:dyDescent="0.35">
      <c r="E504" s="2"/>
      <c r="F504" s="2"/>
      <c r="G504" s="2"/>
      <c r="H504" s="2"/>
    </row>
    <row r="505" spans="5:8" ht="14.25" customHeight="1" x14ac:dyDescent="0.35">
      <c r="E505" s="2"/>
      <c r="F505" s="2"/>
      <c r="G505" s="2"/>
      <c r="H505" s="2"/>
    </row>
    <row r="506" spans="5:8" ht="14.25" customHeight="1" x14ac:dyDescent="0.35">
      <c r="E506" s="2"/>
      <c r="F506" s="2"/>
      <c r="G506" s="2"/>
      <c r="H506" s="2"/>
    </row>
    <row r="507" spans="5:8" ht="14.25" customHeight="1" x14ac:dyDescent="0.35">
      <c r="E507" s="2"/>
      <c r="F507" s="2"/>
      <c r="G507" s="2"/>
      <c r="H507" s="2"/>
    </row>
    <row r="508" spans="5:8" ht="14.25" customHeight="1" x14ac:dyDescent="0.35">
      <c r="E508" s="2"/>
      <c r="F508" s="2"/>
      <c r="G508" s="2"/>
      <c r="H508" s="2"/>
    </row>
    <row r="509" spans="5:8" ht="14.25" customHeight="1" x14ac:dyDescent="0.35">
      <c r="E509" s="2"/>
      <c r="F509" s="2"/>
      <c r="G509" s="2"/>
      <c r="H509" s="2"/>
    </row>
    <row r="510" spans="5:8" ht="14.25" customHeight="1" x14ac:dyDescent="0.35">
      <c r="E510" s="2"/>
      <c r="F510" s="2"/>
      <c r="G510" s="2"/>
      <c r="H510" s="2"/>
    </row>
    <row r="511" spans="5:8" ht="14.25" customHeight="1" x14ac:dyDescent="0.35">
      <c r="E511" s="2"/>
      <c r="F511" s="2"/>
      <c r="G511" s="2"/>
      <c r="H511" s="2"/>
    </row>
    <row r="512" spans="5:8" ht="14.25" customHeight="1" x14ac:dyDescent="0.35">
      <c r="E512" s="2"/>
      <c r="F512" s="2"/>
      <c r="G512" s="2"/>
      <c r="H512" s="2"/>
    </row>
    <row r="513" spans="5:8" ht="14.25" customHeight="1" x14ac:dyDescent="0.35">
      <c r="E513" s="2"/>
      <c r="F513" s="2"/>
      <c r="G513" s="2"/>
      <c r="H513" s="2"/>
    </row>
    <row r="514" spans="5:8" ht="14.25" customHeight="1" x14ac:dyDescent="0.35">
      <c r="E514" s="2"/>
      <c r="F514" s="2"/>
      <c r="G514" s="2"/>
      <c r="H514" s="2"/>
    </row>
    <row r="515" spans="5:8" ht="14.25" customHeight="1" x14ac:dyDescent="0.35">
      <c r="E515" s="2"/>
      <c r="F515" s="2"/>
      <c r="G515" s="2"/>
      <c r="H515" s="2"/>
    </row>
    <row r="516" spans="5:8" ht="14.25" customHeight="1" x14ac:dyDescent="0.35">
      <c r="E516" s="2"/>
      <c r="F516" s="2"/>
      <c r="G516" s="2"/>
      <c r="H516" s="2"/>
    </row>
    <row r="517" spans="5:8" ht="14.25" customHeight="1" x14ac:dyDescent="0.35">
      <c r="E517" s="2"/>
      <c r="F517" s="2"/>
      <c r="G517" s="2"/>
      <c r="H517" s="2"/>
    </row>
    <row r="518" spans="5:8" ht="14.25" customHeight="1" x14ac:dyDescent="0.35">
      <c r="E518" s="2"/>
      <c r="F518" s="2"/>
      <c r="G518" s="2"/>
      <c r="H518" s="2"/>
    </row>
    <row r="519" spans="5:8" ht="14.25" customHeight="1" x14ac:dyDescent="0.35">
      <c r="E519" s="2"/>
      <c r="F519" s="2"/>
      <c r="G519" s="2"/>
      <c r="H519" s="2"/>
    </row>
    <row r="520" spans="5:8" ht="14.25" customHeight="1" x14ac:dyDescent="0.35">
      <c r="E520" s="2"/>
      <c r="F520" s="2"/>
      <c r="G520" s="2"/>
      <c r="H520" s="2"/>
    </row>
    <row r="521" spans="5:8" ht="14.25" customHeight="1" x14ac:dyDescent="0.35">
      <c r="E521" s="2"/>
      <c r="F521" s="2"/>
      <c r="G521" s="2"/>
      <c r="H521" s="2"/>
    </row>
    <row r="522" spans="5:8" ht="14.25" customHeight="1" x14ac:dyDescent="0.35">
      <c r="E522" s="2"/>
      <c r="F522" s="2"/>
      <c r="G522" s="2"/>
      <c r="H522" s="2"/>
    </row>
    <row r="523" spans="5:8" ht="14.25" customHeight="1" x14ac:dyDescent="0.35">
      <c r="E523" s="2"/>
      <c r="F523" s="2"/>
      <c r="G523" s="2"/>
      <c r="H523" s="2"/>
    </row>
    <row r="524" spans="5:8" ht="14.25" customHeight="1" x14ac:dyDescent="0.35">
      <c r="E524" s="2"/>
      <c r="F524" s="2"/>
      <c r="G524" s="2"/>
      <c r="H524" s="2"/>
    </row>
    <row r="525" spans="5:8" ht="14.25" customHeight="1" x14ac:dyDescent="0.35">
      <c r="E525" s="2"/>
      <c r="F525" s="2"/>
      <c r="G525" s="2"/>
      <c r="H525" s="2"/>
    </row>
    <row r="526" spans="5:8" ht="14.25" customHeight="1" x14ac:dyDescent="0.35">
      <c r="E526" s="2"/>
      <c r="F526" s="2"/>
      <c r="G526" s="2"/>
      <c r="H526" s="2"/>
    </row>
    <row r="527" spans="5:8" ht="14.25" customHeight="1" x14ac:dyDescent="0.35">
      <c r="E527" s="2"/>
      <c r="F527" s="2"/>
      <c r="G527" s="2"/>
      <c r="H527" s="2"/>
    </row>
    <row r="528" spans="5:8" ht="14.25" customHeight="1" x14ac:dyDescent="0.35">
      <c r="E528" s="2"/>
      <c r="F528" s="2"/>
      <c r="G528" s="2"/>
      <c r="H528" s="2"/>
    </row>
    <row r="529" spans="5:8" ht="14.25" customHeight="1" x14ac:dyDescent="0.35">
      <c r="E529" s="2"/>
      <c r="F529" s="2"/>
      <c r="G529" s="2"/>
      <c r="H529" s="2"/>
    </row>
    <row r="530" spans="5:8" ht="14.25" customHeight="1" x14ac:dyDescent="0.35">
      <c r="E530" s="2"/>
      <c r="F530" s="2"/>
      <c r="G530" s="2"/>
      <c r="H530" s="2"/>
    </row>
    <row r="531" spans="5:8" ht="14.25" customHeight="1" x14ac:dyDescent="0.35">
      <c r="E531" s="2"/>
      <c r="F531" s="2"/>
      <c r="G531" s="2"/>
      <c r="H531" s="2"/>
    </row>
    <row r="532" spans="5:8" ht="14.25" customHeight="1" x14ac:dyDescent="0.35">
      <c r="E532" s="2"/>
      <c r="F532" s="2"/>
      <c r="G532" s="2"/>
      <c r="H532" s="2"/>
    </row>
    <row r="533" spans="5:8" ht="14.25" customHeight="1" x14ac:dyDescent="0.35">
      <c r="E533" s="2"/>
      <c r="F533" s="2"/>
      <c r="G533" s="2"/>
      <c r="H533" s="2"/>
    </row>
    <row r="534" spans="5:8" ht="14.25" customHeight="1" x14ac:dyDescent="0.35">
      <c r="E534" s="2"/>
      <c r="F534" s="2"/>
      <c r="G534" s="2"/>
      <c r="H534" s="2"/>
    </row>
    <row r="535" spans="5:8" ht="14.25" customHeight="1" x14ac:dyDescent="0.35">
      <c r="E535" s="2"/>
      <c r="F535" s="2"/>
      <c r="G535" s="2"/>
      <c r="H535" s="2"/>
    </row>
    <row r="536" spans="5:8" ht="14.25" customHeight="1" x14ac:dyDescent="0.35">
      <c r="E536" s="2"/>
      <c r="F536" s="2"/>
      <c r="G536" s="2"/>
      <c r="H536" s="2"/>
    </row>
    <row r="537" spans="5:8" ht="14.25" customHeight="1" x14ac:dyDescent="0.35">
      <c r="E537" s="2"/>
      <c r="F537" s="2"/>
      <c r="G537" s="2"/>
      <c r="H537" s="2"/>
    </row>
    <row r="538" spans="5:8" ht="14.25" customHeight="1" x14ac:dyDescent="0.35">
      <c r="E538" s="2"/>
      <c r="F538" s="2"/>
      <c r="G538" s="2"/>
      <c r="H538" s="2"/>
    </row>
    <row r="539" spans="5:8" ht="14.25" customHeight="1" x14ac:dyDescent="0.35">
      <c r="E539" s="2"/>
      <c r="F539" s="2"/>
      <c r="G539" s="2"/>
      <c r="H539" s="2"/>
    </row>
    <row r="540" spans="5:8" ht="14.25" customHeight="1" x14ac:dyDescent="0.35">
      <c r="E540" s="2"/>
      <c r="F540" s="2"/>
      <c r="G540" s="2"/>
      <c r="H540" s="2"/>
    </row>
    <row r="541" spans="5:8" ht="14.25" customHeight="1" x14ac:dyDescent="0.35">
      <c r="E541" s="2"/>
      <c r="F541" s="2"/>
      <c r="G541" s="2"/>
      <c r="H541" s="2"/>
    </row>
    <row r="542" spans="5:8" ht="14.25" customHeight="1" x14ac:dyDescent="0.35">
      <c r="E542" s="2"/>
      <c r="F542" s="2"/>
      <c r="G542" s="2"/>
      <c r="H542" s="2"/>
    </row>
    <row r="543" spans="5:8" ht="14.25" customHeight="1" x14ac:dyDescent="0.35">
      <c r="E543" s="2"/>
      <c r="F543" s="2"/>
      <c r="G543" s="2"/>
      <c r="H543" s="2"/>
    </row>
    <row r="544" spans="5:8" ht="14.25" customHeight="1" x14ac:dyDescent="0.35">
      <c r="E544" s="2"/>
      <c r="F544" s="2"/>
      <c r="G544" s="2"/>
      <c r="H544" s="2"/>
    </row>
    <row r="545" spans="5:8" ht="14.25" customHeight="1" x14ac:dyDescent="0.35">
      <c r="E545" s="2"/>
      <c r="F545" s="2"/>
      <c r="G545" s="2"/>
      <c r="H545" s="2"/>
    </row>
    <row r="546" spans="5:8" ht="14.25" customHeight="1" x14ac:dyDescent="0.35">
      <c r="E546" s="2"/>
      <c r="F546" s="2"/>
      <c r="G546" s="2"/>
      <c r="H546" s="2"/>
    </row>
    <row r="547" spans="5:8" ht="14.25" customHeight="1" x14ac:dyDescent="0.35">
      <c r="E547" s="2"/>
      <c r="F547" s="2"/>
      <c r="G547" s="2"/>
      <c r="H547" s="2"/>
    </row>
    <row r="548" spans="5:8" ht="14.25" customHeight="1" x14ac:dyDescent="0.35">
      <c r="E548" s="2"/>
      <c r="F548" s="2"/>
      <c r="G548" s="2"/>
      <c r="H548" s="2"/>
    </row>
    <row r="549" spans="5:8" ht="14.25" customHeight="1" x14ac:dyDescent="0.35">
      <c r="E549" s="2"/>
      <c r="F549" s="2"/>
      <c r="G549" s="2"/>
      <c r="H549" s="2"/>
    </row>
    <row r="550" spans="5:8" ht="14.25" customHeight="1" x14ac:dyDescent="0.35">
      <c r="E550" s="2"/>
      <c r="F550" s="2"/>
      <c r="G550" s="2"/>
      <c r="H550" s="2"/>
    </row>
    <row r="551" spans="5:8" ht="14.25" customHeight="1" x14ac:dyDescent="0.35">
      <c r="E551" s="2"/>
      <c r="F551" s="2"/>
      <c r="G551" s="2"/>
      <c r="H551" s="2"/>
    </row>
    <row r="552" spans="5:8" ht="14.25" customHeight="1" x14ac:dyDescent="0.35">
      <c r="E552" s="2"/>
      <c r="F552" s="2"/>
      <c r="G552" s="2"/>
      <c r="H552" s="2"/>
    </row>
    <row r="553" spans="5:8" ht="14.25" customHeight="1" x14ac:dyDescent="0.35">
      <c r="E553" s="2"/>
      <c r="F553" s="2"/>
      <c r="G553" s="2"/>
      <c r="H553" s="2"/>
    </row>
    <row r="554" spans="5:8" ht="14.25" customHeight="1" x14ac:dyDescent="0.35">
      <c r="E554" s="2"/>
      <c r="F554" s="2"/>
      <c r="G554" s="2"/>
      <c r="H554" s="2"/>
    </row>
    <row r="555" spans="5:8" ht="14.25" customHeight="1" x14ac:dyDescent="0.35">
      <c r="E555" s="2"/>
      <c r="F555" s="2"/>
      <c r="G555" s="2"/>
      <c r="H555" s="2"/>
    </row>
    <row r="556" spans="5:8" ht="14.25" customHeight="1" x14ac:dyDescent="0.35">
      <c r="E556" s="2"/>
      <c r="F556" s="2"/>
      <c r="G556" s="2"/>
      <c r="H556" s="2"/>
    </row>
    <row r="557" spans="5:8" ht="14.25" customHeight="1" x14ac:dyDescent="0.35">
      <c r="E557" s="2"/>
      <c r="F557" s="2"/>
      <c r="G557" s="2"/>
      <c r="H557" s="2"/>
    </row>
    <row r="558" spans="5:8" ht="14.25" customHeight="1" x14ac:dyDescent="0.35">
      <c r="E558" s="2"/>
      <c r="F558" s="2"/>
      <c r="G558" s="2"/>
      <c r="H558" s="2"/>
    </row>
    <row r="559" spans="5:8" ht="14.25" customHeight="1" x14ac:dyDescent="0.35">
      <c r="E559" s="2"/>
      <c r="F559" s="2"/>
      <c r="G559" s="2"/>
      <c r="H559" s="2"/>
    </row>
    <row r="560" spans="5:8" ht="14.25" customHeight="1" x14ac:dyDescent="0.35">
      <c r="E560" s="2"/>
      <c r="F560" s="2"/>
      <c r="G560" s="2"/>
      <c r="H560" s="2"/>
    </row>
    <row r="561" spans="5:8" ht="14.25" customHeight="1" x14ac:dyDescent="0.35">
      <c r="E561" s="2"/>
      <c r="F561" s="2"/>
      <c r="G561" s="2"/>
      <c r="H561" s="2"/>
    </row>
    <row r="562" spans="5:8" ht="14.25" customHeight="1" x14ac:dyDescent="0.35">
      <c r="E562" s="2"/>
      <c r="F562" s="2"/>
      <c r="G562" s="2"/>
      <c r="H562" s="2"/>
    </row>
    <row r="563" spans="5:8" ht="14.25" customHeight="1" x14ac:dyDescent="0.35">
      <c r="E563" s="2"/>
      <c r="F563" s="2"/>
      <c r="G563" s="2"/>
      <c r="H563" s="2"/>
    </row>
    <row r="564" spans="5:8" ht="14.25" customHeight="1" x14ac:dyDescent="0.35">
      <c r="E564" s="2"/>
      <c r="F564" s="2"/>
      <c r="G564" s="2"/>
      <c r="H564" s="2"/>
    </row>
    <row r="565" spans="5:8" ht="14.25" customHeight="1" x14ac:dyDescent="0.35">
      <c r="E565" s="2"/>
      <c r="F565" s="2"/>
      <c r="G565" s="2"/>
      <c r="H565" s="2"/>
    </row>
    <row r="566" spans="5:8" ht="14.25" customHeight="1" x14ac:dyDescent="0.35">
      <c r="E566" s="2"/>
      <c r="F566" s="2"/>
      <c r="G566" s="2"/>
      <c r="H566" s="2"/>
    </row>
    <row r="567" spans="5:8" ht="14.25" customHeight="1" x14ac:dyDescent="0.35">
      <c r="E567" s="2"/>
      <c r="F567" s="2"/>
      <c r="G567" s="2"/>
      <c r="H567" s="2"/>
    </row>
    <row r="568" spans="5:8" ht="14.25" customHeight="1" x14ac:dyDescent="0.35">
      <c r="E568" s="2"/>
      <c r="F568" s="2"/>
      <c r="G568" s="2"/>
      <c r="H568" s="2"/>
    </row>
    <row r="569" spans="5:8" ht="14.25" customHeight="1" x14ac:dyDescent="0.35">
      <c r="E569" s="2"/>
      <c r="F569" s="2"/>
      <c r="G569" s="2"/>
      <c r="H569" s="2"/>
    </row>
    <row r="570" spans="5:8" ht="14.25" customHeight="1" x14ac:dyDescent="0.35">
      <c r="E570" s="2"/>
      <c r="F570" s="2"/>
      <c r="G570" s="2"/>
      <c r="H570" s="2"/>
    </row>
    <row r="571" spans="5:8" ht="14.25" customHeight="1" x14ac:dyDescent="0.35">
      <c r="E571" s="2"/>
      <c r="F571" s="2"/>
      <c r="G571" s="2"/>
      <c r="H571" s="2"/>
    </row>
    <row r="572" spans="5:8" ht="14.25" customHeight="1" x14ac:dyDescent="0.35">
      <c r="E572" s="2"/>
      <c r="F572" s="2"/>
      <c r="G572" s="2"/>
      <c r="H572" s="2"/>
    </row>
    <row r="573" spans="5:8" ht="14.25" customHeight="1" x14ac:dyDescent="0.35">
      <c r="E573" s="2"/>
      <c r="F573" s="2"/>
      <c r="G573" s="2"/>
      <c r="H573" s="2"/>
    </row>
    <row r="574" spans="5:8" ht="14.25" customHeight="1" x14ac:dyDescent="0.35">
      <c r="E574" s="2"/>
      <c r="F574" s="2"/>
      <c r="G574" s="2"/>
      <c r="H574" s="2"/>
    </row>
    <row r="575" spans="5:8" ht="14.25" customHeight="1" x14ac:dyDescent="0.35">
      <c r="E575" s="2"/>
      <c r="F575" s="2"/>
      <c r="G575" s="2"/>
      <c r="H575" s="2"/>
    </row>
    <row r="576" spans="5:8" ht="14.25" customHeight="1" x14ac:dyDescent="0.35">
      <c r="E576" s="2"/>
      <c r="F576" s="2"/>
      <c r="G576" s="2"/>
      <c r="H576" s="2"/>
    </row>
    <row r="577" spans="5:8" ht="14.25" customHeight="1" x14ac:dyDescent="0.35">
      <c r="E577" s="2"/>
      <c r="F577" s="2"/>
      <c r="G577" s="2"/>
      <c r="H577" s="2"/>
    </row>
    <row r="578" spans="5:8" ht="14.25" customHeight="1" x14ac:dyDescent="0.35">
      <c r="E578" s="2"/>
      <c r="F578" s="2"/>
      <c r="G578" s="2"/>
      <c r="H578" s="2"/>
    </row>
    <row r="579" spans="5:8" ht="14.25" customHeight="1" x14ac:dyDescent="0.35">
      <c r="E579" s="2"/>
      <c r="F579" s="2"/>
      <c r="G579" s="2"/>
      <c r="H579" s="2"/>
    </row>
    <row r="580" spans="5:8" ht="14.25" customHeight="1" x14ac:dyDescent="0.35">
      <c r="E580" s="2"/>
      <c r="F580" s="2"/>
      <c r="G580" s="2"/>
      <c r="H580" s="2"/>
    </row>
    <row r="581" spans="5:8" ht="14.25" customHeight="1" x14ac:dyDescent="0.35">
      <c r="E581" s="2"/>
      <c r="F581" s="2"/>
      <c r="G581" s="2"/>
      <c r="H581" s="2"/>
    </row>
    <row r="582" spans="5:8" ht="14.25" customHeight="1" x14ac:dyDescent="0.35">
      <c r="E582" s="2"/>
      <c r="F582" s="2"/>
      <c r="G582" s="2"/>
      <c r="H582" s="2"/>
    </row>
    <row r="583" spans="5:8" ht="14.25" customHeight="1" x14ac:dyDescent="0.35">
      <c r="E583" s="2"/>
      <c r="F583" s="2"/>
      <c r="G583" s="2"/>
      <c r="H583" s="2"/>
    </row>
    <row r="584" spans="5:8" ht="14.25" customHeight="1" x14ac:dyDescent="0.35">
      <c r="E584" s="2"/>
      <c r="F584" s="2"/>
      <c r="G584" s="2"/>
      <c r="H584" s="2"/>
    </row>
    <row r="585" spans="5:8" ht="14.25" customHeight="1" x14ac:dyDescent="0.35">
      <c r="E585" s="2"/>
      <c r="F585" s="2"/>
      <c r="G585" s="2"/>
      <c r="H585" s="2"/>
    </row>
    <row r="586" spans="5:8" ht="14.25" customHeight="1" x14ac:dyDescent="0.35">
      <c r="E586" s="2"/>
      <c r="F586" s="2"/>
      <c r="G586" s="2"/>
      <c r="H586" s="2"/>
    </row>
    <row r="587" spans="5:8" ht="14.25" customHeight="1" x14ac:dyDescent="0.35">
      <c r="E587" s="2"/>
      <c r="F587" s="2"/>
      <c r="G587" s="2"/>
      <c r="H587" s="2"/>
    </row>
    <row r="588" spans="5:8" ht="14.25" customHeight="1" x14ac:dyDescent="0.35">
      <c r="E588" s="2"/>
      <c r="F588" s="2"/>
      <c r="G588" s="2"/>
      <c r="H588" s="2"/>
    </row>
    <row r="589" spans="5:8" ht="14.25" customHeight="1" x14ac:dyDescent="0.35">
      <c r="E589" s="2"/>
      <c r="F589" s="2"/>
      <c r="G589" s="2"/>
      <c r="H589" s="2"/>
    </row>
    <row r="590" spans="5:8" ht="14.25" customHeight="1" x14ac:dyDescent="0.35">
      <c r="E590" s="2"/>
      <c r="F590" s="2"/>
      <c r="G590" s="2"/>
      <c r="H590" s="2"/>
    </row>
    <row r="591" spans="5:8" ht="14.25" customHeight="1" x14ac:dyDescent="0.35">
      <c r="E591" s="2"/>
      <c r="F591" s="2"/>
      <c r="G591" s="2"/>
      <c r="H591" s="2"/>
    </row>
    <row r="592" spans="5:8" ht="14.25" customHeight="1" x14ac:dyDescent="0.35">
      <c r="E592" s="2"/>
      <c r="F592" s="2"/>
      <c r="G592" s="2"/>
      <c r="H592" s="2"/>
    </row>
    <row r="593" spans="5:8" ht="14.25" customHeight="1" x14ac:dyDescent="0.35">
      <c r="E593" s="2"/>
      <c r="F593" s="2"/>
      <c r="G593" s="2"/>
      <c r="H593" s="2"/>
    </row>
    <row r="594" spans="5:8" ht="14.25" customHeight="1" x14ac:dyDescent="0.35">
      <c r="E594" s="2"/>
      <c r="F594" s="2"/>
      <c r="G594" s="2"/>
      <c r="H594" s="2"/>
    </row>
    <row r="595" spans="5:8" ht="14.25" customHeight="1" x14ac:dyDescent="0.35">
      <c r="E595" s="2"/>
      <c r="F595" s="2"/>
      <c r="G595" s="2"/>
      <c r="H595" s="2"/>
    </row>
    <row r="596" spans="5:8" ht="14.25" customHeight="1" x14ac:dyDescent="0.35">
      <c r="E596" s="2"/>
      <c r="F596" s="2"/>
      <c r="G596" s="2"/>
      <c r="H596" s="2"/>
    </row>
    <row r="597" spans="5:8" ht="14.25" customHeight="1" x14ac:dyDescent="0.35">
      <c r="E597" s="2"/>
      <c r="F597" s="2"/>
      <c r="G597" s="2"/>
      <c r="H597" s="2"/>
    </row>
    <row r="598" spans="5:8" ht="14.25" customHeight="1" x14ac:dyDescent="0.35">
      <c r="E598" s="2"/>
      <c r="F598" s="2"/>
      <c r="G598" s="2"/>
      <c r="H598" s="2"/>
    </row>
    <row r="599" spans="5:8" ht="14.25" customHeight="1" x14ac:dyDescent="0.35">
      <c r="E599" s="2"/>
      <c r="F599" s="2"/>
      <c r="G599" s="2"/>
      <c r="H599" s="2"/>
    </row>
    <row r="600" spans="5:8" ht="14.25" customHeight="1" x14ac:dyDescent="0.35">
      <c r="E600" s="2"/>
      <c r="F600" s="2"/>
      <c r="G600" s="2"/>
      <c r="H600" s="2"/>
    </row>
    <row r="601" spans="5:8" ht="14.25" customHeight="1" x14ac:dyDescent="0.35">
      <c r="E601" s="2"/>
      <c r="F601" s="2"/>
      <c r="G601" s="2"/>
      <c r="H601" s="2"/>
    </row>
    <row r="602" spans="5:8" ht="14.25" customHeight="1" x14ac:dyDescent="0.35">
      <c r="E602" s="2"/>
      <c r="F602" s="2"/>
      <c r="G602" s="2"/>
      <c r="H602" s="2"/>
    </row>
    <row r="603" spans="5:8" ht="14.25" customHeight="1" x14ac:dyDescent="0.35">
      <c r="E603" s="2"/>
      <c r="F603" s="2"/>
      <c r="G603" s="2"/>
      <c r="H603" s="2"/>
    </row>
    <row r="604" spans="5:8" ht="14.25" customHeight="1" x14ac:dyDescent="0.35">
      <c r="E604" s="2"/>
      <c r="F604" s="2"/>
      <c r="G604" s="2"/>
      <c r="H604" s="2"/>
    </row>
    <row r="605" spans="5:8" ht="14.25" customHeight="1" x14ac:dyDescent="0.35">
      <c r="E605" s="2"/>
      <c r="F605" s="2"/>
      <c r="G605" s="2"/>
      <c r="H605" s="2"/>
    </row>
    <row r="606" spans="5:8" ht="14.25" customHeight="1" x14ac:dyDescent="0.35">
      <c r="E606" s="2"/>
      <c r="F606" s="2"/>
      <c r="G606" s="2"/>
      <c r="H606" s="2"/>
    </row>
    <row r="607" spans="5:8" ht="14.25" customHeight="1" x14ac:dyDescent="0.35">
      <c r="E607" s="2"/>
      <c r="F607" s="2"/>
      <c r="G607" s="2"/>
      <c r="H607" s="2"/>
    </row>
    <row r="608" spans="5:8" ht="14.25" customHeight="1" x14ac:dyDescent="0.35">
      <c r="E608" s="2"/>
      <c r="F608" s="2"/>
      <c r="G608" s="2"/>
      <c r="H608" s="2"/>
    </row>
    <row r="609" spans="5:8" ht="14.25" customHeight="1" x14ac:dyDescent="0.35">
      <c r="E609" s="2"/>
      <c r="F609" s="2"/>
      <c r="G609" s="2"/>
      <c r="H609" s="2"/>
    </row>
    <row r="610" spans="5:8" ht="14.25" customHeight="1" x14ac:dyDescent="0.35">
      <c r="E610" s="2"/>
      <c r="F610" s="2"/>
      <c r="G610" s="2"/>
      <c r="H610" s="2"/>
    </row>
    <row r="611" spans="5:8" ht="14.25" customHeight="1" x14ac:dyDescent="0.35">
      <c r="E611" s="2"/>
      <c r="F611" s="2"/>
      <c r="G611" s="2"/>
      <c r="H611" s="2"/>
    </row>
    <row r="612" spans="5:8" ht="14.25" customHeight="1" x14ac:dyDescent="0.35">
      <c r="E612" s="2"/>
      <c r="F612" s="2"/>
      <c r="G612" s="2"/>
      <c r="H612" s="2"/>
    </row>
    <row r="613" spans="5:8" ht="14.25" customHeight="1" x14ac:dyDescent="0.35">
      <c r="E613" s="2"/>
      <c r="F613" s="2"/>
      <c r="G613" s="2"/>
      <c r="H613" s="2"/>
    </row>
    <row r="614" spans="5:8" ht="14.25" customHeight="1" x14ac:dyDescent="0.35">
      <c r="E614" s="2"/>
      <c r="F614" s="2"/>
      <c r="G614" s="2"/>
      <c r="H614" s="2"/>
    </row>
    <row r="615" spans="5:8" ht="14.25" customHeight="1" x14ac:dyDescent="0.35">
      <c r="E615" s="2"/>
      <c r="F615" s="2"/>
      <c r="G615" s="2"/>
      <c r="H615" s="2"/>
    </row>
    <row r="616" spans="5:8" ht="14.25" customHeight="1" x14ac:dyDescent="0.35">
      <c r="E616" s="2"/>
      <c r="F616" s="2"/>
      <c r="G616" s="2"/>
      <c r="H616" s="2"/>
    </row>
    <row r="617" spans="5:8" ht="14.25" customHeight="1" x14ac:dyDescent="0.35">
      <c r="E617" s="2"/>
      <c r="F617" s="2"/>
      <c r="G617" s="2"/>
      <c r="H617" s="2"/>
    </row>
    <row r="618" spans="5:8" ht="14.25" customHeight="1" x14ac:dyDescent="0.35">
      <c r="E618" s="2"/>
      <c r="F618" s="2"/>
      <c r="G618" s="2"/>
      <c r="H618" s="2"/>
    </row>
    <row r="619" spans="5:8" ht="14.25" customHeight="1" x14ac:dyDescent="0.35">
      <c r="E619" s="2"/>
      <c r="F619" s="2"/>
      <c r="G619" s="2"/>
      <c r="H619" s="2"/>
    </row>
    <row r="620" spans="5:8" ht="14.25" customHeight="1" x14ac:dyDescent="0.35">
      <c r="E620" s="2"/>
      <c r="F620" s="2"/>
      <c r="G620" s="2"/>
      <c r="H620" s="2"/>
    </row>
    <row r="621" spans="5:8" ht="14.25" customHeight="1" x14ac:dyDescent="0.35">
      <c r="E621" s="2"/>
      <c r="F621" s="2"/>
      <c r="G621" s="2"/>
      <c r="H621" s="2"/>
    </row>
    <row r="622" spans="5:8" ht="14.25" customHeight="1" x14ac:dyDescent="0.35">
      <c r="E622" s="2"/>
      <c r="F622" s="2"/>
      <c r="G622" s="2"/>
      <c r="H622" s="2"/>
    </row>
    <row r="623" spans="5:8" ht="14.25" customHeight="1" x14ac:dyDescent="0.35">
      <c r="E623" s="2"/>
      <c r="F623" s="2"/>
      <c r="G623" s="2"/>
      <c r="H623" s="2"/>
    </row>
    <row r="624" spans="5:8" ht="14.25" customHeight="1" x14ac:dyDescent="0.35">
      <c r="E624" s="2"/>
      <c r="F624" s="2"/>
      <c r="G624" s="2"/>
      <c r="H624" s="2"/>
    </row>
    <row r="625" spans="5:8" ht="14.25" customHeight="1" x14ac:dyDescent="0.35">
      <c r="E625" s="2"/>
      <c r="F625" s="2"/>
      <c r="G625" s="2"/>
      <c r="H625" s="2"/>
    </row>
    <row r="626" spans="5:8" ht="14.25" customHeight="1" x14ac:dyDescent="0.35">
      <c r="E626" s="2"/>
      <c r="F626" s="2"/>
      <c r="G626" s="2"/>
      <c r="H626" s="2"/>
    </row>
    <row r="627" spans="5:8" ht="14.25" customHeight="1" x14ac:dyDescent="0.35">
      <c r="E627" s="2"/>
      <c r="F627" s="2"/>
      <c r="G627" s="2"/>
      <c r="H627" s="2"/>
    </row>
    <row r="628" spans="5:8" ht="14.25" customHeight="1" x14ac:dyDescent="0.35">
      <c r="E628" s="2"/>
      <c r="F628" s="2"/>
      <c r="G628" s="2"/>
      <c r="H628" s="2"/>
    </row>
    <row r="629" spans="5:8" ht="14.25" customHeight="1" x14ac:dyDescent="0.35">
      <c r="E629" s="2"/>
      <c r="F629" s="2"/>
      <c r="G629" s="2"/>
      <c r="H629" s="2"/>
    </row>
    <row r="630" spans="5:8" ht="14.25" customHeight="1" x14ac:dyDescent="0.35">
      <c r="E630" s="2"/>
      <c r="F630" s="2"/>
      <c r="G630" s="2"/>
      <c r="H630" s="2"/>
    </row>
    <row r="631" spans="5:8" ht="14.25" customHeight="1" x14ac:dyDescent="0.35">
      <c r="E631" s="2"/>
      <c r="F631" s="2"/>
      <c r="G631" s="2"/>
      <c r="H631" s="2"/>
    </row>
    <row r="632" spans="5:8" ht="14.25" customHeight="1" x14ac:dyDescent="0.35">
      <c r="E632" s="2"/>
      <c r="F632" s="2"/>
      <c r="G632" s="2"/>
      <c r="H632" s="2"/>
    </row>
    <row r="633" spans="5:8" ht="14.25" customHeight="1" x14ac:dyDescent="0.35">
      <c r="E633" s="2"/>
      <c r="F633" s="2"/>
      <c r="G633" s="2"/>
      <c r="H633" s="2"/>
    </row>
    <row r="634" spans="5:8" ht="14.25" customHeight="1" x14ac:dyDescent="0.35">
      <c r="E634" s="2"/>
      <c r="F634" s="2"/>
      <c r="G634" s="2"/>
      <c r="H634" s="2"/>
    </row>
    <row r="635" spans="5:8" ht="14.25" customHeight="1" x14ac:dyDescent="0.35">
      <c r="E635" s="2"/>
      <c r="F635" s="2"/>
      <c r="G635" s="2"/>
      <c r="H635" s="2"/>
    </row>
    <row r="636" spans="5:8" ht="14.25" customHeight="1" x14ac:dyDescent="0.35">
      <c r="E636" s="2"/>
      <c r="F636" s="2"/>
      <c r="G636" s="2"/>
      <c r="H636" s="2"/>
    </row>
    <row r="637" spans="5:8" ht="14.25" customHeight="1" x14ac:dyDescent="0.35">
      <c r="E637" s="2"/>
      <c r="F637" s="2"/>
      <c r="G637" s="2"/>
      <c r="H637" s="2"/>
    </row>
    <row r="638" spans="5:8" ht="14.25" customHeight="1" x14ac:dyDescent="0.35">
      <c r="E638" s="2"/>
      <c r="F638" s="2"/>
      <c r="G638" s="2"/>
      <c r="H638" s="2"/>
    </row>
    <row r="639" spans="5:8" ht="14.25" customHeight="1" x14ac:dyDescent="0.35">
      <c r="E639" s="2"/>
      <c r="F639" s="2"/>
      <c r="G639" s="2"/>
      <c r="H639" s="2"/>
    </row>
    <row r="640" spans="5:8" ht="14.25" customHeight="1" x14ac:dyDescent="0.35">
      <c r="E640" s="2"/>
      <c r="F640" s="2"/>
      <c r="G640" s="2"/>
      <c r="H640" s="2"/>
    </row>
    <row r="641" spans="5:8" ht="14.25" customHeight="1" x14ac:dyDescent="0.35">
      <c r="E641" s="2"/>
      <c r="F641" s="2"/>
      <c r="G641" s="2"/>
      <c r="H641" s="2"/>
    </row>
    <row r="642" spans="5:8" ht="14.25" customHeight="1" x14ac:dyDescent="0.35">
      <c r="E642" s="2"/>
      <c r="F642" s="2"/>
      <c r="G642" s="2"/>
      <c r="H642" s="2"/>
    </row>
    <row r="643" spans="5:8" ht="14.25" customHeight="1" x14ac:dyDescent="0.35">
      <c r="E643" s="2"/>
      <c r="F643" s="2"/>
      <c r="G643" s="2"/>
      <c r="H643" s="2"/>
    </row>
    <row r="644" spans="5:8" ht="14.25" customHeight="1" x14ac:dyDescent="0.35">
      <c r="E644" s="2"/>
      <c r="F644" s="2"/>
      <c r="G644" s="2"/>
      <c r="H644" s="2"/>
    </row>
    <row r="645" spans="5:8" ht="14.25" customHeight="1" x14ac:dyDescent="0.35">
      <c r="E645" s="2"/>
      <c r="F645" s="2"/>
      <c r="G645" s="2"/>
      <c r="H645" s="2"/>
    </row>
    <row r="646" spans="5:8" ht="14.25" customHeight="1" x14ac:dyDescent="0.35">
      <c r="E646" s="2"/>
      <c r="F646" s="2"/>
      <c r="G646" s="2"/>
      <c r="H646" s="2"/>
    </row>
    <row r="647" spans="5:8" ht="14.25" customHeight="1" x14ac:dyDescent="0.35">
      <c r="E647" s="2"/>
      <c r="F647" s="2"/>
      <c r="G647" s="2"/>
      <c r="H647" s="2"/>
    </row>
    <row r="648" spans="5:8" ht="14.25" customHeight="1" x14ac:dyDescent="0.35">
      <c r="E648" s="2"/>
      <c r="F648" s="2"/>
      <c r="G648" s="2"/>
      <c r="H648" s="2"/>
    </row>
    <row r="649" spans="5:8" ht="14.25" customHeight="1" x14ac:dyDescent="0.35">
      <c r="E649" s="2"/>
      <c r="F649" s="2"/>
      <c r="G649" s="2"/>
      <c r="H649" s="2"/>
    </row>
    <row r="650" spans="5:8" ht="14.25" customHeight="1" x14ac:dyDescent="0.35">
      <c r="E650" s="2"/>
      <c r="F650" s="2"/>
      <c r="G650" s="2"/>
      <c r="H650" s="2"/>
    </row>
    <row r="651" spans="5:8" ht="14.25" customHeight="1" x14ac:dyDescent="0.35">
      <c r="E651" s="2"/>
      <c r="F651" s="2"/>
      <c r="G651" s="2"/>
      <c r="H651" s="2"/>
    </row>
    <row r="652" spans="5:8" ht="14.25" customHeight="1" x14ac:dyDescent="0.35">
      <c r="E652" s="2"/>
      <c r="F652" s="2"/>
      <c r="G652" s="2"/>
      <c r="H652" s="2"/>
    </row>
    <row r="653" spans="5:8" ht="14.25" customHeight="1" x14ac:dyDescent="0.35">
      <c r="E653" s="2"/>
      <c r="F653" s="2"/>
      <c r="G653" s="2"/>
      <c r="H653" s="2"/>
    </row>
    <row r="654" spans="5:8" ht="14.25" customHeight="1" x14ac:dyDescent="0.35">
      <c r="E654" s="2"/>
      <c r="F654" s="2"/>
      <c r="G654" s="2"/>
      <c r="H654" s="2"/>
    </row>
    <row r="655" spans="5:8" ht="14.25" customHeight="1" x14ac:dyDescent="0.35">
      <c r="E655" s="2"/>
      <c r="F655" s="2"/>
      <c r="G655" s="2"/>
      <c r="H655" s="2"/>
    </row>
    <row r="656" spans="5:8" ht="14.25" customHeight="1" x14ac:dyDescent="0.35">
      <c r="E656" s="2"/>
      <c r="F656" s="2"/>
      <c r="G656" s="2"/>
      <c r="H656" s="2"/>
    </row>
    <row r="657" spans="5:8" ht="14.25" customHeight="1" x14ac:dyDescent="0.35">
      <c r="E657" s="2"/>
      <c r="F657" s="2"/>
      <c r="G657" s="2"/>
      <c r="H657" s="2"/>
    </row>
    <row r="658" spans="5:8" ht="14.25" customHeight="1" x14ac:dyDescent="0.35">
      <c r="E658" s="2"/>
      <c r="F658" s="2"/>
      <c r="G658" s="2"/>
      <c r="H658" s="2"/>
    </row>
    <row r="659" spans="5:8" ht="14.25" customHeight="1" x14ac:dyDescent="0.35">
      <c r="E659" s="2"/>
      <c r="F659" s="2"/>
      <c r="G659" s="2"/>
      <c r="H659" s="2"/>
    </row>
    <row r="660" spans="5:8" ht="14.25" customHeight="1" x14ac:dyDescent="0.35">
      <c r="E660" s="2"/>
      <c r="F660" s="2"/>
      <c r="G660" s="2"/>
      <c r="H660" s="2"/>
    </row>
    <row r="661" spans="5:8" ht="14.25" customHeight="1" x14ac:dyDescent="0.35">
      <c r="E661" s="2"/>
      <c r="F661" s="2"/>
      <c r="G661" s="2"/>
      <c r="H661" s="2"/>
    </row>
    <row r="662" spans="5:8" ht="14.25" customHeight="1" x14ac:dyDescent="0.35">
      <c r="E662" s="2"/>
      <c r="F662" s="2"/>
      <c r="G662" s="2"/>
      <c r="H662" s="2"/>
    </row>
    <row r="663" spans="5:8" ht="14.25" customHeight="1" x14ac:dyDescent="0.35">
      <c r="E663" s="2"/>
      <c r="F663" s="2"/>
      <c r="G663" s="2"/>
      <c r="H663" s="2"/>
    </row>
    <row r="664" spans="5:8" ht="14.25" customHeight="1" x14ac:dyDescent="0.35">
      <c r="E664" s="2"/>
      <c r="F664" s="2"/>
      <c r="G664" s="2"/>
      <c r="H664" s="2"/>
    </row>
    <row r="665" spans="5:8" ht="14.25" customHeight="1" x14ac:dyDescent="0.35">
      <c r="E665" s="2"/>
      <c r="F665" s="2"/>
      <c r="G665" s="2"/>
      <c r="H665" s="2"/>
    </row>
    <row r="666" spans="5:8" ht="14.25" customHeight="1" x14ac:dyDescent="0.35">
      <c r="E666" s="2"/>
      <c r="F666" s="2"/>
      <c r="G666" s="2"/>
      <c r="H666" s="2"/>
    </row>
    <row r="667" spans="5:8" ht="14.25" customHeight="1" x14ac:dyDescent="0.35">
      <c r="E667" s="2"/>
      <c r="F667" s="2"/>
      <c r="G667" s="2"/>
      <c r="H667" s="2"/>
    </row>
    <row r="668" spans="5:8" ht="14.25" customHeight="1" x14ac:dyDescent="0.35">
      <c r="E668" s="2"/>
      <c r="F668" s="2"/>
      <c r="G668" s="2"/>
      <c r="H668" s="2"/>
    </row>
    <row r="669" spans="5:8" ht="14.25" customHeight="1" x14ac:dyDescent="0.35">
      <c r="E669" s="2"/>
      <c r="F669" s="2"/>
      <c r="G669" s="2"/>
      <c r="H669" s="2"/>
    </row>
    <row r="670" spans="5:8" ht="14.25" customHeight="1" x14ac:dyDescent="0.35">
      <c r="E670" s="2"/>
      <c r="F670" s="2"/>
      <c r="G670" s="2"/>
      <c r="H670" s="2"/>
    </row>
    <row r="671" spans="5:8" ht="14.25" customHeight="1" x14ac:dyDescent="0.35">
      <c r="E671" s="2"/>
      <c r="F671" s="2"/>
      <c r="G671" s="2"/>
      <c r="H671" s="2"/>
    </row>
    <row r="672" spans="5:8" ht="14.25" customHeight="1" x14ac:dyDescent="0.35">
      <c r="E672" s="2"/>
      <c r="F672" s="2"/>
      <c r="G672" s="2"/>
      <c r="H672" s="2"/>
    </row>
    <row r="673" spans="5:8" ht="14.25" customHeight="1" x14ac:dyDescent="0.35">
      <c r="E673" s="2"/>
      <c r="F673" s="2"/>
      <c r="G673" s="2"/>
      <c r="H673" s="2"/>
    </row>
    <row r="674" spans="5:8" ht="14.25" customHeight="1" x14ac:dyDescent="0.35">
      <c r="E674" s="2"/>
      <c r="F674" s="2"/>
      <c r="G674" s="2"/>
      <c r="H674" s="2"/>
    </row>
    <row r="675" spans="5:8" ht="14.25" customHeight="1" x14ac:dyDescent="0.35">
      <c r="E675" s="2"/>
      <c r="F675" s="2"/>
      <c r="G675" s="2"/>
      <c r="H675" s="2"/>
    </row>
    <row r="676" spans="5:8" ht="14.25" customHeight="1" x14ac:dyDescent="0.35">
      <c r="E676" s="2"/>
      <c r="F676" s="2"/>
      <c r="G676" s="2"/>
      <c r="H676" s="2"/>
    </row>
    <row r="677" spans="5:8" ht="14.25" customHeight="1" x14ac:dyDescent="0.35">
      <c r="E677" s="2"/>
      <c r="F677" s="2"/>
      <c r="G677" s="2"/>
      <c r="H677" s="2"/>
    </row>
    <row r="678" spans="5:8" ht="14.25" customHeight="1" x14ac:dyDescent="0.35">
      <c r="E678" s="2"/>
      <c r="F678" s="2"/>
      <c r="G678" s="2"/>
      <c r="H678" s="2"/>
    </row>
    <row r="679" spans="5:8" ht="14.25" customHeight="1" x14ac:dyDescent="0.35">
      <c r="E679" s="2"/>
      <c r="F679" s="2"/>
      <c r="G679" s="2"/>
      <c r="H679" s="2"/>
    </row>
    <row r="680" spans="5:8" ht="14.25" customHeight="1" x14ac:dyDescent="0.35">
      <c r="E680" s="2"/>
      <c r="F680" s="2"/>
      <c r="G680" s="2"/>
      <c r="H680" s="2"/>
    </row>
    <row r="681" spans="5:8" ht="14.25" customHeight="1" x14ac:dyDescent="0.35">
      <c r="E681" s="2"/>
      <c r="F681" s="2"/>
      <c r="G681" s="2"/>
      <c r="H681" s="2"/>
    </row>
    <row r="682" spans="5:8" ht="14.25" customHeight="1" x14ac:dyDescent="0.35">
      <c r="E682" s="2"/>
      <c r="F682" s="2"/>
      <c r="G682" s="2"/>
      <c r="H682" s="2"/>
    </row>
    <row r="683" spans="5:8" ht="14.25" customHeight="1" x14ac:dyDescent="0.35">
      <c r="E683" s="2"/>
      <c r="F683" s="2"/>
      <c r="G683" s="2"/>
      <c r="H683" s="2"/>
    </row>
    <row r="684" spans="5:8" ht="14.25" customHeight="1" x14ac:dyDescent="0.35">
      <c r="E684" s="2"/>
      <c r="F684" s="2"/>
      <c r="G684" s="2"/>
      <c r="H684" s="2"/>
    </row>
    <row r="685" spans="5:8" ht="14.25" customHeight="1" x14ac:dyDescent="0.35">
      <c r="E685" s="2"/>
      <c r="F685" s="2"/>
      <c r="G685" s="2"/>
      <c r="H685" s="2"/>
    </row>
    <row r="686" spans="5:8" ht="14.25" customHeight="1" x14ac:dyDescent="0.35">
      <c r="E686" s="2"/>
      <c r="F686" s="2"/>
      <c r="G686" s="2"/>
      <c r="H686" s="2"/>
    </row>
    <row r="687" spans="5:8" ht="14.25" customHeight="1" x14ac:dyDescent="0.35">
      <c r="E687" s="2"/>
      <c r="F687" s="2"/>
      <c r="G687" s="2"/>
      <c r="H687" s="2"/>
    </row>
    <row r="688" spans="5:8" ht="14.25" customHeight="1" x14ac:dyDescent="0.35">
      <c r="E688" s="2"/>
      <c r="F688" s="2"/>
      <c r="G688" s="2"/>
      <c r="H688" s="2"/>
    </row>
    <row r="689" spans="5:8" ht="14.25" customHeight="1" x14ac:dyDescent="0.35">
      <c r="E689" s="2"/>
      <c r="F689" s="2"/>
      <c r="G689" s="2"/>
      <c r="H689" s="2"/>
    </row>
    <row r="690" spans="5:8" ht="14.25" customHeight="1" x14ac:dyDescent="0.35">
      <c r="E690" s="2"/>
      <c r="F690" s="2"/>
      <c r="G690" s="2"/>
      <c r="H690" s="2"/>
    </row>
    <row r="691" spans="5:8" ht="14.25" customHeight="1" x14ac:dyDescent="0.35">
      <c r="E691" s="2"/>
      <c r="F691" s="2"/>
      <c r="G691" s="2"/>
      <c r="H691" s="2"/>
    </row>
    <row r="692" spans="5:8" ht="14.25" customHeight="1" x14ac:dyDescent="0.35">
      <c r="E692" s="2"/>
      <c r="F692" s="2"/>
      <c r="G692" s="2"/>
      <c r="H692" s="2"/>
    </row>
    <row r="693" spans="5:8" ht="14.25" customHeight="1" x14ac:dyDescent="0.35">
      <c r="E693" s="2"/>
      <c r="F693" s="2"/>
      <c r="G693" s="2"/>
      <c r="H693" s="2"/>
    </row>
    <row r="694" spans="5:8" ht="14.25" customHeight="1" x14ac:dyDescent="0.35">
      <c r="E694" s="2"/>
      <c r="F694" s="2"/>
      <c r="G694" s="2"/>
      <c r="H694" s="2"/>
    </row>
    <row r="695" spans="5:8" ht="14.25" customHeight="1" x14ac:dyDescent="0.35">
      <c r="E695" s="2"/>
      <c r="F695" s="2"/>
      <c r="G695" s="2"/>
      <c r="H695" s="2"/>
    </row>
    <row r="696" spans="5:8" ht="14.25" customHeight="1" x14ac:dyDescent="0.35">
      <c r="E696" s="2"/>
      <c r="F696" s="2"/>
      <c r="G696" s="2"/>
      <c r="H696" s="2"/>
    </row>
    <row r="697" spans="5:8" ht="14.25" customHeight="1" x14ac:dyDescent="0.35">
      <c r="E697" s="2"/>
      <c r="F697" s="2"/>
      <c r="G697" s="2"/>
      <c r="H697" s="2"/>
    </row>
    <row r="698" spans="5:8" ht="14.25" customHeight="1" x14ac:dyDescent="0.35">
      <c r="E698" s="2"/>
      <c r="F698" s="2"/>
      <c r="G698" s="2"/>
      <c r="H698" s="2"/>
    </row>
    <row r="699" spans="5:8" ht="14.25" customHeight="1" x14ac:dyDescent="0.35">
      <c r="E699" s="2"/>
      <c r="F699" s="2"/>
      <c r="G699" s="2"/>
      <c r="H699" s="2"/>
    </row>
    <row r="700" spans="5:8" ht="14.25" customHeight="1" x14ac:dyDescent="0.35">
      <c r="E700" s="2"/>
      <c r="F700" s="2"/>
      <c r="G700" s="2"/>
      <c r="H700" s="2"/>
    </row>
    <row r="701" spans="5:8" ht="14.25" customHeight="1" x14ac:dyDescent="0.35">
      <c r="E701" s="2"/>
      <c r="F701" s="2"/>
      <c r="G701" s="2"/>
      <c r="H701" s="2"/>
    </row>
    <row r="702" spans="5:8" ht="14.25" customHeight="1" x14ac:dyDescent="0.35">
      <c r="E702" s="2"/>
      <c r="F702" s="2"/>
      <c r="G702" s="2"/>
      <c r="H702" s="2"/>
    </row>
    <row r="703" spans="5:8" ht="14.25" customHeight="1" x14ac:dyDescent="0.35">
      <c r="E703" s="2"/>
      <c r="F703" s="2"/>
      <c r="G703" s="2"/>
      <c r="H703" s="2"/>
    </row>
    <row r="704" spans="5:8" ht="14.25" customHeight="1" x14ac:dyDescent="0.35">
      <c r="E704" s="2"/>
      <c r="F704" s="2"/>
      <c r="G704" s="2"/>
      <c r="H704" s="2"/>
    </row>
    <row r="705" spans="5:8" ht="14.25" customHeight="1" x14ac:dyDescent="0.35">
      <c r="E705" s="2"/>
      <c r="F705" s="2"/>
      <c r="G705" s="2"/>
      <c r="H705" s="2"/>
    </row>
    <row r="706" spans="5:8" ht="14.25" customHeight="1" x14ac:dyDescent="0.35">
      <c r="E706" s="2"/>
      <c r="F706" s="2"/>
      <c r="G706" s="2"/>
      <c r="H706" s="2"/>
    </row>
    <row r="707" spans="5:8" ht="14.25" customHeight="1" x14ac:dyDescent="0.35">
      <c r="E707" s="2"/>
      <c r="F707" s="2"/>
      <c r="G707" s="2"/>
      <c r="H707" s="2"/>
    </row>
    <row r="708" spans="5:8" ht="14.25" customHeight="1" x14ac:dyDescent="0.35">
      <c r="E708" s="2"/>
      <c r="F708" s="2"/>
      <c r="G708" s="2"/>
      <c r="H708" s="2"/>
    </row>
    <row r="709" spans="5:8" ht="14.25" customHeight="1" x14ac:dyDescent="0.35">
      <c r="E709" s="2"/>
      <c r="F709" s="2"/>
      <c r="G709" s="2"/>
      <c r="H709" s="2"/>
    </row>
    <row r="710" spans="5:8" ht="14.25" customHeight="1" x14ac:dyDescent="0.35">
      <c r="E710" s="2"/>
      <c r="F710" s="2"/>
      <c r="G710" s="2"/>
      <c r="H710" s="2"/>
    </row>
    <row r="711" spans="5:8" ht="14.25" customHeight="1" x14ac:dyDescent="0.35">
      <c r="E711" s="2"/>
      <c r="F711" s="2"/>
      <c r="G711" s="2"/>
      <c r="H711" s="2"/>
    </row>
    <row r="712" spans="5:8" ht="14.25" customHeight="1" x14ac:dyDescent="0.35">
      <c r="E712" s="2"/>
      <c r="F712" s="2"/>
      <c r="G712" s="2"/>
      <c r="H712" s="2"/>
    </row>
    <row r="713" spans="5:8" ht="14.25" customHeight="1" x14ac:dyDescent="0.35">
      <c r="E713" s="2"/>
      <c r="F713" s="2"/>
      <c r="G713" s="2"/>
      <c r="H713" s="2"/>
    </row>
    <row r="714" spans="5:8" ht="14.25" customHeight="1" x14ac:dyDescent="0.35">
      <c r="E714" s="2"/>
      <c r="F714" s="2"/>
      <c r="G714" s="2"/>
      <c r="H714" s="2"/>
    </row>
    <row r="715" spans="5:8" ht="14.25" customHeight="1" x14ac:dyDescent="0.35">
      <c r="E715" s="2"/>
      <c r="F715" s="2"/>
      <c r="G715" s="2"/>
      <c r="H715" s="2"/>
    </row>
    <row r="716" spans="5:8" ht="14.25" customHeight="1" x14ac:dyDescent="0.35">
      <c r="E716" s="2"/>
      <c r="F716" s="2"/>
      <c r="G716" s="2"/>
      <c r="H716" s="2"/>
    </row>
    <row r="717" spans="5:8" ht="14.25" customHeight="1" x14ac:dyDescent="0.35">
      <c r="E717" s="2"/>
      <c r="F717" s="2"/>
      <c r="G717" s="2"/>
      <c r="H717" s="2"/>
    </row>
    <row r="718" spans="5:8" ht="14.25" customHeight="1" x14ac:dyDescent="0.35">
      <c r="E718" s="2"/>
      <c r="F718" s="2"/>
      <c r="G718" s="2"/>
      <c r="H718" s="2"/>
    </row>
    <row r="719" spans="5:8" ht="14.25" customHeight="1" x14ac:dyDescent="0.35">
      <c r="E719" s="2"/>
      <c r="F719" s="2"/>
      <c r="G719" s="2"/>
      <c r="H719" s="2"/>
    </row>
    <row r="720" spans="5:8" ht="14.25" customHeight="1" x14ac:dyDescent="0.35">
      <c r="E720" s="2"/>
      <c r="F720" s="2"/>
      <c r="G720" s="2"/>
      <c r="H720" s="2"/>
    </row>
    <row r="721" spans="5:8" ht="14.25" customHeight="1" x14ac:dyDescent="0.35">
      <c r="E721" s="2"/>
      <c r="F721" s="2"/>
      <c r="G721" s="2"/>
      <c r="H721" s="2"/>
    </row>
    <row r="722" spans="5:8" ht="14.25" customHeight="1" x14ac:dyDescent="0.35">
      <c r="E722" s="2"/>
      <c r="F722" s="2"/>
      <c r="G722" s="2"/>
      <c r="H722" s="2"/>
    </row>
    <row r="723" spans="5:8" ht="14.25" customHeight="1" x14ac:dyDescent="0.35">
      <c r="E723" s="2"/>
      <c r="F723" s="2"/>
      <c r="G723" s="2"/>
      <c r="H723" s="2"/>
    </row>
    <row r="724" spans="5:8" ht="14.25" customHeight="1" x14ac:dyDescent="0.35">
      <c r="E724" s="2"/>
      <c r="F724" s="2"/>
      <c r="G724" s="2"/>
      <c r="H724" s="2"/>
    </row>
    <row r="725" spans="5:8" ht="14.25" customHeight="1" x14ac:dyDescent="0.35">
      <c r="E725" s="2"/>
      <c r="F725" s="2"/>
      <c r="G725" s="2"/>
      <c r="H725" s="2"/>
    </row>
    <row r="726" spans="5:8" ht="14.25" customHeight="1" x14ac:dyDescent="0.35">
      <c r="E726" s="2"/>
      <c r="F726" s="2"/>
      <c r="G726" s="2"/>
      <c r="H726" s="2"/>
    </row>
    <row r="727" spans="5:8" ht="14.25" customHeight="1" x14ac:dyDescent="0.35">
      <c r="E727" s="2"/>
      <c r="F727" s="2"/>
      <c r="G727" s="2"/>
      <c r="H727" s="2"/>
    </row>
    <row r="728" spans="5:8" ht="14.25" customHeight="1" x14ac:dyDescent="0.35">
      <c r="E728" s="2"/>
      <c r="F728" s="2"/>
      <c r="G728" s="2"/>
      <c r="H728" s="2"/>
    </row>
    <row r="729" spans="5:8" ht="14.25" customHeight="1" x14ac:dyDescent="0.35">
      <c r="E729" s="2"/>
      <c r="F729" s="2"/>
      <c r="G729" s="2"/>
      <c r="H729" s="2"/>
    </row>
    <row r="730" spans="5:8" ht="14.25" customHeight="1" x14ac:dyDescent="0.35">
      <c r="E730" s="2"/>
      <c r="F730" s="2"/>
      <c r="G730" s="2"/>
      <c r="H730" s="2"/>
    </row>
    <row r="731" spans="5:8" ht="14.25" customHeight="1" x14ac:dyDescent="0.35">
      <c r="E731" s="2"/>
      <c r="F731" s="2"/>
      <c r="G731" s="2"/>
      <c r="H731" s="2"/>
    </row>
    <row r="732" spans="5:8" ht="14.25" customHeight="1" x14ac:dyDescent="0.35">
      <c r="E732" s="2"/>
      <c r="F732" s="2"/>
      <c r="G732" s="2"/>
      <c r="H732" s="2"/>
    </row>
    <row r="733" spans="5:8" ht="14.25" customHeight="1" x14ac:dyDescent="0.35">
      <c r="E733" s="2"/>
      <c r="F733" s="2"/>
      <c r="G733" s="2"/>
      <c r="H733" s="2"/>
    </row>
    <row r="734" spans="5:8" ht="14.25" customHeight="1" x14ac:dyDescent="0.35">
      <c r="E734" s="2"/>
      <c r="F734" s="2"/>
      <c r="G734" s="2"/>
      <c r="H734" s="2"/>
    </row>
    <row r="735" spans="5:8" ht="14.25" customHeight="1" x14ac:dyDescent="0.35">
      <c r="E735" s="2"/>
      <c r="F735" s="2"/>
      <c r="G735" s="2"/>
      <c r="H735" s="2"/>
    </row>
    <row r="736" spans="5:8" ht="14.25" customHeight="1" x14ac:dyDescent="0.35">
      <c r="E736" s="2"/>
      <c r="F736" s="2"/>
      <c r="G736" s="2"/>
      <c r="H736" s="2"/>
    </row>
    <row r="737" spans="5:8" ht="14.25" customHeight="1" x14ac:dyDescent="0.35">
      <c r="E737" s="2"/>
      <c r="F737" s="2"/>
      <c r="G737" s="2"/>
      <c r="H737" s="2"/>
    </row>
    <row r="738" spans="5:8" ht="14.25" customHeight="1" x14ac:dyDescent="0.35">
      <c r="E738" s="2"/>
      <c r="F738" s="2"/>
      <c r="G738" s="2"/>
      <c r="H738" s="2"/>
    </row>
    <row r="739" spans="5:8" ht="14.25" customHeight="1" x14ac:dyDescent="0.35">
      <c r="E739" s="2"/>
      <c r="F739" s="2"/>
      <c r="G739" s="2"/>
      <c r="H739" s="2"/>
    </row>
    <row r="740" spans="5:8" ht="14.25" customHeight="1" x14ac:dyDescent="0.35">
      <c r="E740" s="2"/>
      <c r="F740" s="2"/>
      <c r="G740" s="2"/>
      <c r="H740" s="2"/>
    </row>
    <row r="741" spans="5:8" ht="14.25" customHeight="1" x14ac:dyDescent="0.35">
      <c r="E741" s="2"/>
      <c r="F741" s="2"/>
      <c r="G741" s="2"/>
      <c r="H741" s="2"/>
    </row>
    <row r="742" spans="5:8" ht="14.25" customHeight="1" x14ac:dyDescent="0.35">
      <c r="E742" s="2"/>
      <c r="F742" s="2"/>
      <c r="G742" s="2"/>
      <c r="H742" s="2"/>
    </row>
    <row r="743" spans="5:8" ht="14.25" customHeight="1" x14ac:dyDescent="0.35">
      <c r="E743" s="2"/>
      <c r="F743" s="2"/>
      <c r="G743" s="2"/>
      <c r="H743" s="2"/>
    </row>
    <row r="744" spans="5:8" ht="14.25" customHeight="1" x14ac:dyDescent="0.35">
      <c r="E744" s="2"/>
      <c r="F744" s="2"/>
      <c r="G744" s="2"/>
      <c r="H744" s="2"/>
    </row>
    <row r="745" spans="5:8" ht="14.25" customHeight="1" x14ac:dyDescent="0.35">
      <c r="E745" s="2"/>
      <c r="F745" s="2"/>
      <c r="G745" s="2"/>
      <c r="H745" s="2"/>
    </row>
    <row r="746" spans="5:8" ht="14.25" customHeight="1" x14ac:dyDescent="0.35">
      <c r="E746" s="2"/>
      <c r="F746" s="2"/>
      <c r="G746" s="2"/>
      <c r="H746" s="2"/>
    </row>
    <row r="747" spans="5:8" ht="14.25" customHeight="1" x14ac:dyDescent="0.35">
      <c r="E747" s="2"/>
      <c r="F747" s="2"/>
      <c r="G747" s="2"/>
      <c r="H747" s="2"/>
    </row>
    <row r="748" spans="5:8" ht="14.25" customHeight="1" x14ac:dyDescent="0.35">
      <c r="E748" s="2"/>
      <c r="F748" s="2"/>
      <c r="G748" s="2"/>
      <c r="H748" s="2"/>
    </row>
    <row r="749" spans="5:8" ht="14.25" customHeight="1" x14ac:dyDescent="0.35">
      <c r="E749" s="2"/>
      <c r="F749" s="2"/>
      <c r="G749" s="2"/>
      <c r="H749" s="2"/>
    </row>
    <row r="750" spans="5:8" ht="14.25" customHeight="1" x14ac:dyDescent="0.35">
      <c r="E750" s="2"/>
      <c r="F750" s="2"/>
      <c r="G750" s="2"/>
      <c r="H750" s="2"/>
    </row>
    <row r="751" spans="5:8" ht="14.25" customHeight="1" x14ac:dyDescent="0.35">
      <c r="E751" s="2"/>
      <c r="F751" s="2"/>
      <c r="G751" s="2"/>
      <c r="H751" s="2"/>
    </row>
    <row r="752" spans="5:8" ht="14.25" customHeight="1" x14ac:dyDescent="0.35">
      <c r="E752" s="2"/>
      <c r="F752" s="2"/>
      <c r="G752" s="2"/>
      <c r="H752" s="2"/>
    </row>
    <row r="753" spans="5:8" ht="14.25" customHeight="1" x14ac:dyDescent="0.35">
      <c r="E753" s="2"/>
      <c r="F753" s="2"/>
      <c r="G753" s="2"/>
      <c r="H753" s="2"/>
    </row>
    <row r="754" spans="5:8" ht="14.25" customHeight="1" x14ac:dyDescent="0.35">
      <c r="E754" s="2"/>
      <c r="F754" s="2"/>
      <c r="G754" s="2"/>
      <c r="H754" s="2"/>
    </row>
    <row r="755" spans="5:8" ht="14.25" customHeight="1" x14ac:dyDescent="0.35">
      <c r="E755" s="2"/>
      <c r="F755" s="2"/>
      <c r="G755" s="2"/>
      <c r="H755" s="2"/>
    </row>
    <row r="756" spans="5:8" ht="14.25" customHeight="1" x14ac:dyDescent="0.35">
      <c r="E756" s="2"/>
      <c r="F756" s="2"/>
      <c r="G756" s="2"/>
      <c r="H756" s="2"/>
    </row>
    <row r="757" spans="5:8" ht="14.25" customHeight="1" x14ac:dyDescent="0.35">
      <c r="E757" s="2"/>
      <c r="F757" s="2"/>
      <c r="G757" s="2"/>
      <c r="H757" s="2"/>
    </row>
    <row r="758" spans="5:8" ht="14.25" customHeight="1" x14ac:dyDescent="0.35">
      <c r="E758" s="2"/>
      <c r="F758" s="2"/>
      <c r="G758" s="2"/>
      <c r="H758" s="2"/>
    </row>
    <row r="759" spans="5:8" ht="14.25" customHeight="1" x14ac:dyDescent="0.35">
      <c r="E759" s="2"/>
      <c r="F759" s="2"/>
      <c r="G759" s="2"/>
      <c r="H759" s="2"/>
    </row>
    <row r="760" spans="5:8" ht="14.25" customHeight="1" x14ac:dyDescent="0.35">
      <c r="E760" s="2"/>
      <c r="F760" s="2"/>
      <c r="G760" s="2"/>
      <c r="H760" s="2"/>
    </row>
    <row r="761" spans="5:8" ht="14.25" customHeight="1" x14ac:dyDescent="0.35">
      <c r="E761" s="2"/>
      <c r="F761" s="2"/>
      <c r="G761" s="2"/>
      <c r="H761" s="2"/>
    </row>
    <row r="762" spans="5:8" ht="14.25" customHeight="1" x14ac:dyDescent="0.35">
      <c r="E762" s="2"/>
      <c r="F762" s="2"/>
      <c r="G762" s="2"/>
      <c r="H762" s="2"/>
    </row>
    <row r="763" spans="5:8" ht="14.25" customHeight="1" x14ac:dyDescent="0.35">
      <c r="E763" s="2"/>
      <c r="F763" s="2"/>
      <c r="G763" s="2"/>
      <c r="H763" s="2"/>
    </row>
    <row r="764" spans="5:8" ht="14.25" customHeight="1" x14ac:dyDescent="0.35">
      <c r="E764" s="2"/>
      <c r="F764" s="2"/>
      <c r="G764" s="2"/>
      <c r="H764" s="2"/>
    </row>
    <row r="765" spans="5:8" ht="14.25" customHeight="1" x14ac:dyDescent="0.35">
      <c r="E765" s="2"/>
      <c r="F765" s="2"/>
      <c r="G765" s="2"/>
      <c r="H765" s="2"/>
    </row>
    <row r="766" spans="5:8" ht="14.25" customHeight="1" x14ac:dyDescent="0.35">
      <c r="E766" s="2"/>
      <c r="F766" s="2"/>
      <c r="G766" s="2"/>
      <c r="H766" s="2"/>
    </row>
    <row r="767" spans="5:8" ht="14.25" customHeight="1" x14ac:dyDescent="0.35">
      <c r="E767" s="2"/>
      <c r="F767" s="2"/>
      <c r="G767" s="2"/>
      <c r="H767" s="2"/>
    </row>
    <row r="768" spans="5:8" ht="14.25" customHeight="1" x14ac:dyDescent="0.35">
      <c r="E768" s="2"/>
      <c r="F768" s="2"/>
      <c r="G768" s="2"/>
      <c r="H768" s="2"/>
    </row>
    <row r="769" spans="5:8" ht="14.25" customHeight="1" x14ac:dyDescent="0.35">
      <c r="E769" s="2"/>
      <c r="F769" s="2"/>
      <c r="G769" s="2"/>
      <c r="H769" s="2"/>
    </row>
    <row r="770" spans="5:8" ht="14.25" customHeight="1" x14ac:dyDescent="0.35">
      <c r="E770" s="2"/>
      <c r="F770" s="2"/>
      <c r="G770" s="2"/>
      <c r="H770" s="2"/>
    </row>
    <row r="771" spans="5:8" ht="14.25" customHeight="1" x14ac:dyDescent="0.35">
      <c r="E771" s="2"/>
      <c r="F771" s="2"/>
      <c r="G771" s="2"/>
      <c r="H771" s="2"/>
    </row>
    <row r="772" spans="5:8" ht="14.25" customHeight="1" x14ac:dyDescent="0.35">
      <c r="E772" s="2"/>
      <c r="F772" s="2"/>
      <c r="G772" s="2"/>
      <c r="H772" s="2"/>
    </row>
    <row r="773" spans="5:8" ht="14.25" customHeight="1" x14ac:dyDescent="0.35">
      <c r="E773" s="2"/>
      <c r="F773" s="2"/>
      <c r="G773" s="2"/>
      <c r="H773" s="2"/>
    </row>
    <row r="774" spans="5:8" ht="14.25" customHeight="1" x14ac:dyDescent="0.35">
      <c r="E774" s="2"/>
      <c r="F774" s="2"/>
      <c r="G774" s="2"/>
      <c r="H774" s="2"/>
    </row>
    <row r="775" spans="5:8" ht="14.25" customHeight="1" x14ac:dyDescent="0.35">
      <c r="E775" s="2"/>
      <c r="F775" s="2"/>
      <c r="G775" s="2"/>
      <c r="H775" s="2"/>
    </row>
    <row r="776" spans="5:8" ht="14.25" customHeight="1" x14ac:dyDescent="0.35">
      <c r="E776" s="2"/>
      <c r="F776" s="2"/>
      <c r="G776" s="2"/>
      <c r="H776" s="2"/>
    </row>
    <row r="777" spans="5:8" ht="14.25" customHeight="1" x14ac:dyDescent="0.35">
      <c r="E777" s="2"/>
      <c r="F777" s="2"/>
      <c r="G777" s="2"/>
      <c r="H777" s="2"/>
    </row>
    <row r="778" spans="5:8" ht="14.25" customHeight="1" x14ac:dyDescent="0.35">
      <c r="E778" s="2"/>
      <c r="F778" s="2"/>
      <c r="G778" s="2"/>
      <c r="H778" s="2"/>
    </row>
    <row r="779" spans="5:8" ht="14.25" customHeight="1" x14ac:dyDescent="0.35">
      <c r="E779" s="2"/>
      <c r="F779" s="2"/>
      <c r="G779" s="2"/>
      <c r="H779" s="2"/>
    </row>
    <row r="780" spans="5:8" ht="14.25" customHeight="1" x14ac:dyDescent="0.35">
      <c r="E780" s="2"/>
      <c r="F780" s="2"/>
      <c r="G780" s="2"/>
      <c r="H780" s="2"/>
    </row>
    <row r="781" spans="5:8" ht="14.25" customHeight="1" x14ac:dyDescent="0.35">
      <c r="E781" s="2"/>
      <c r="F781" s="2"/>
      <c r="G781" s="2"/>
      <c r="H781" s="2"/>
    </row>
    <row r="782" spans="5:8" ht="14.25" customHeight="1" x14ac:dyDescent="0.35">
      <c r="E782" s="2"/>
      <c r="F782" s="2"/>
      <c r="G782" s="2"/>
      <c r="H782" s="2"/>
    </row>
    <row r="783" spans="5:8" ht="14.25" customHeight="1" x14ac:dyDescent="0.35">
      <c r="E783" s="2"/>
      <c r="F783" s="2"/>
      <c r="G783" s="2"/>
      <c r="H783" s="2"/>
    </row>
    <row r="784" spans="5:8" ht="14.25" customHeight="1" x14ac:dyDescent="0.35">
      <c r="E784" s="2"/>
      <c r="F784" s="2"/>
      <c r="G784" s="2"/>
      <c r="H784" s="2"/>
    </row>
    <row r="785" spans="5:8" ht="14.25" customHeight="1" x14ac:dyDescent="0.35">
      <c r="E785" s="2"/>
      <c r="F785" s="2"/>
      <c r="G785" s="2"/>
      <c r="H785" s="2"/>
    </row>
    <row r="786" spans="5:8" ht="14.25" customHeight="1" x14ac:dyDescent="0.35">
      <c r="E786" s="2"/>
      <c r="F786" s="2"/>
      <c r="G786" s="2"/>
      <c r="H786" s="2"/>
    </row>
    <row r="787" spans="5:8" ht="14.25" customHeight="1" x14ac:dyDescent="0.35">
      <c r="E787" s="2"/>
      <c r="F787" s="2"/>
      <c r="G787" s="2"/>
      <c r="H787" s="2"/>
    </row>
    <row r="788" spans="5:8" ht="14.25" customHeight="1" x14ac:dyDescent="0.35">
      <c r="E788" s="2"/>
      <c r="F788" s="2"/>
      <c r="G788" s="2"/>
      <c r="H788" s="2"/>
    </row>
    <row r="789" spans="5:8" ht="14.25" customHeight="1" x14ac:dyDescent="0.35">
      <c r="E789" s="2"/>
      <c r="F789" s="2"/>
      <c r="G789" s="2"/>
      <c r="H789" s="2"/>
    </row>
    <row r="790" spans="5:8" ht="14.25" customHeight="1" x14ac:dyDescent="0.35">
      <c r="E790" s="2"/>
      <c r="F790" s="2"/>
      <c r="G790" s="2"/>
      <c r="H790" s="2"/>
    </row>
    <row r="791" spans="5:8" ht="14.25" customHeight="1" x14ac:dyDescent="0.35">
      <c r="E791" s="2"/>
      <c r="F791" s="2"/>
      <c r="G791" s="2"/>
      <c r="H791" s="2"/>
    </row>
    <row r="792" spans="5:8" ht="14.25" customHeight="1" x14ac:dyDescent="0.35">
      <c r="E792" s="2"/>
      <c r="F792" s="2"/>
      <c r="G792" s="2"/>
      <c r="H792" s="2"/>
    </row>
    <row r="793" spans="5:8" ht="14.25" customHeight="1" x14ac:dyDescent="0.35">
      <c r="E793" s="2"/>
      <c r="F793" s="2"/>
      <c r="G793" s="2"/>
      <c r="H793" s="2"/>
    </row>
    <row r="794" spans="5:8" ht="14.25" customHeight="1" x14ac:dyDescent="0.35">
      <c r="E794" s="2"/>
      <c r="F794" s="2"/>
      <c r="G794" s="2"/>
      <c r="H794" s="2"/>
    </row>
    <row r="795" spans="5:8" ht="14.25" customHeight="1" x14ac:dyDescent="0.35">
      <c r="E795" s="2"/>
      <c r="F795" s="2"/>
      <c r="G795" s="2"/>
      <c r="H795" s="2"/>
    </row>
    <row r="796" spans="5:8" ht="14.25" customHeight="1" x14ac:dyDescent="0.35">
      <c r="E796" s="2"/>
      <c r="F796" s="2"/>
      <c r="G796" s="2"/>
      <c r="H796" s="2"/>
    </row>
    <row r="797" spans="5:8" ht="14.25" customHeight="1" x14ac:dyDescent="0.35">
      <c r="E797" s="2"/>
      <c r="F797" s="2"/>
      <c r="G797" s="2"/>
      <c r="H797" s="2"/>
    </row>
    <row r="798" spans="5:8" ht="14.25" customHeight="1" x14ac:dyDescent="0.35">
      <c r="E798" s="2"/>
      <c r="F798" s="2"/>
      <c r="G798" s="2"/>
      <c r="H798" s="2"/>
    </row>
    <row r="799" spans="5:8" ht="14.25" customHeight="1" x14ac:dyDescent="0.35">
      <c r="E799" s="2"/>
      <c r="F799" s="2"/>
      <c r="G799" s="2"/>
      <c r="H799" s="2"/>
    </row>
    <row r="800" spans="5:8" ht="14.25" customHeight="1" x14ac:dyDescent="0.35">
      <c r="E800" s="2"/>
      <c r="F800" s="2"/>
      <c r="G800" s="2"/>
      <c r="H800" s="2"/>
    </row>
    <row r="801" spans="5:8" ht="14.25" customHeight="1" x14ac:dyDescent="0.35">
      <c r="E801" s="2"/>
      <c r="F801" s="2"/>
      <c r="G801" s="2"/>
      <c r="H801" s="2"/>
    </row>
    <row r="802" spans="5:8" ht="14.25" customHeight="1" x14ac:dyDescent="0.35">
      <c r="E802" s="2"/>
      <c r="F802" s="2"/>
      <c r="G802" s="2"/>
      <c r="H802" s="2"/>
    </row>
    <row r="803" spans="5:8" ht="14.25" customHeight="1" x14ac:dyDescent="0.35">
      <c r="E803" s="2"/>
      <c r="F803" s="2"/>
      <c r="G803" s="2"/>
      <c r="H803" s="2"/>
    </row>
    <row r="804" spans="5:8" ht="14.25" customHeight="1" x14ac:dyDescent="0.35">
      <c r="E804" s="2"/>
      <c r="F804" s="2"/>
      <c r="G804" s="2"/>
      <c r="H804" s="2"/>
    </row>
    <row r="805" spans="5:8" ht="14.25" customHeight="1" x14ac:dyDescent="0.35">
      <c r="E805" s="2"/>
      <c r="F805" s="2"/>
      <c r="G805" s="2"/>
      <c r="H805" s="2"/>
    </row>
    <row r="806" spans="5:8" ht="14.25" customHeight="1" x14ac:dyDescent="0.35">
      <c r="E806" s="2"/>
      <c r="F806" s="2"/>
      <c r="G806" s="2"/>
      <c r="H806" s="2"/>
    </row>
    <row r="807" spans="5:8" ht="14.25" customHeight="1" x14ac:dyDescent="0.35">
      <c r="E807" s="2"/>
      <c r="F807" s="2"/>
      <c r="G807" s="2"/>
      <c r="H807" s="2"/>
    </row>
    <row r="808" spans="5:8" ht="14.25" customHeight="1" x14ac:dyDescent="0.35">
      <c r="E808" s="2"/>
      <c r="F808" s="2"/>
      <c r="G808" s="2"/>
      <c r="H808" s="2"/>
    </row>
    <row r="809" spans="5:8" ht="14.25" customHeight="1" x14ac:dyDescent="0.35">
      <c r="E809" s="2"/>
      <c r="F809" s="2"/>
      <c r="G809" s="2"/>
      <c r="H809" s="2"/>
    </row>
    <row r="810" spans="5:8" ht="14.25" customHeight="1" x14ac:dyDescent="0.35">
      <c r="E810" s="2"/>
      <c r="F810" s="2"/>
      <c r="G810" s="2"/>
      <c r="H810" s="2"/>
    </row>
    <row r="811" spans="5:8" ht="14.25" customHeight="1" x14ac:dyDescent="0.35">
      <c r="E811" s="2"/>
      <c r="F811" s="2"/>
      <c r="G811" s="2"/>
      <c r="H811" s="2"/>
    </row>
    <row r="812" spans="5:8" ht="14.25" customHeight="1" x14ac:dyDescent="0.35">
      <c r="E812" s="2"/>
      <c r="F812" s="2"/>
      <c r="G812" s="2"/>
      <c r="H812" s="2"/>
    </row>
    <row r="813" spans="5:8" ht="14.25" customHeight="1" x14ac:dyDescent="0.35">
      <c r="E813" s="2"/>
      <c r="F813" s="2"/>
      <c r="G813" s="2"/>
      <c r="H813" s="2"/>
    </row>
    <row r="814" spans="5:8" ht="14.25" customHeight="1" x14ac:dyDescent="0.35">
      <c r="E814" s="2"/>
      <c r="F814" s="2"/>
      <c r="G814" s="2"/>
      <c r="H814" s="2"/>
    </row>
    <row r="815" spans="5:8" ht="14.25" customHeight="1" x14ac:dyDescent="0.35">
      <c r="E815" s="2"/>
      <c r="F815" s="2"/>
      <c r="G815" s="2"/>
      <c r="H815" s="2"/>
    </row>
    <row r="816" spans="5:8" ht="14.25" customHeight="1" x14ac:dyDescent="0.35">
      <c r="E816" s="2"/>
      <c r="F816" s="2"/>
      <c r="G816" s="2"/>
      <c r="H816" s="2"/>
    </row>
    <row r="817" spans="5:8" ht="14.25" customHeight="1" x14ac:dyDescent="0.35">
      <c r="E817" s="2"/>
      <c r="F817" s="2"/>
      <c r="G817" s="2"/>
      <c r="H817" s="2"/>
    </row>
    <row r="818" spans="5:8" ht="14.25" customHeight="1" x14ac:dyDescent="0.35">
      <c r="E818" s="2"/>
      <c r="F818" s="2"/>
      <c r="G818" s="2"/>
      <c r="H818" s="2"/>
    </row>
    <row r="819" spans="5:8" ht="14.25" customHeight="1" x14ac:dyDescent="0.35">
      <c r="E819" s="2"/>
      <c r="F819" s="2"/>
      <c r="G819" s="2"/>
      <c r="H819" s="2"/>
    </row>
    <row r="820" spans="5:8" ht="14.25" customHeight="1" x14ac:dyDescent="0.35">
      <c r="E820" s="2"/>
      <c r="F820" s="2"/>
      <c r="G820" s="2"/>
      <c r="H820" s="2"/>
    </row>
    <row r="821" spans="5:8" ht="14.25" customHeight="1" x14ac:dyDescent="0.35">
      <c r="E821" s="2"/>
      <c r="F821" s="2"/>
      <c r="G821" s="2"/>
      <c r="H821" s="2"/>
    </row>
    <row r="822" spans="5:8" ht="14.25" customHeight="1" x14ac:dyDescent="0.35">
      <c r="E822" s="2"/>
      <c r="F822" s="2"/>
      <c r="G822" s="2"/>
      <c r="H822" s="2"/>
    </row>
    <row r="823" spans="5:8" ht="14.25" customHeight="1" x14ac:dyDescent="0.35">
      <c r="E823" s="2"/>
      <c r="F823" s="2"/>
      <c r="G823" s="2"/>
      <c r="H823" s="2"/>
    </row>
    <row r="824" spans="5:8" ht="14.25" customHeight="1" x14ac:dyDescent="0.35">
      <c r="E824" s="2"/>
      <c r="F824" s="2"/>
      <c r="G824" s="2"/>
      <c r="H824" s="2"/>
    </row>
    <row r="825" spans="5:8" ht="14.25" customHeight="1" x14ac:dyDescent="0.35">
      <c r="E825" s="2"/>
      <c r="F825" s="2"/>
      <c r="G825" s="2"/>
      <c r="H825" s="2"/>
    </row>
    <row r="826" spans="5:8" ht="14.25" customHeight="1" x14ac:dyDescent="0.35">
      <c r="E826" s="2"/>
      <c r="F826" s="2"/>
      <c r="G826" s="2"/>
      <c r="H826" s="2"/>
    </row>
    <row r="827" spans="5:8" ht="14.25" customHeight="1" x14ac:dyDescent="0.35">
      <c r="E827" s="2"/>
      <c r="F827" s="2"/>
      <c r="G827" s="2"/>
      <c r="H827" s="2"/>
    </row>
    <row r="828" spans="5:8" ht="14.25" customHeight="1" x14ac:dyDescent="0.35">
      <c r="E828" s="2"/>
      <c r="F828" s="2"/>
      <c r="G828" s="2"/>
      <c r="H828" s="2"/>
    </row>
    <row r="829" spans="5:8" ht="14.25" customHeight="1" x14ac:dyDescent="0.35">
      <c r="E829" s="2"/>
      <c r="F829" s="2"/>
      <c r="G829" s="2"/>
      <c r="H829" s="2"/>
    </row>
    <row r="830" spans="5:8" ht="14.25" customHeight="1" x14ac:dyDescent="0.35">
      <c r="E830" s="2"/>
      <c r="F830" s="2"/>
      <c r="G830" s="2"/>
      <c r="H830" s="2"/>
    </row>
    <row r="831" spans="5:8" ht="14.25" customHeight="1" x14ac:dyDescent="0.35">
      <c r="E831" s="2"/>
      <c r="F831" s="2"/>
      <c r="G831" s="2"/>
      <c r="H831" s="2"/>
    </row>
    <row r="832" spans="5:8" ht="14.25" customHeight="1" x14ac:dyDescent="0.35">
      <c r="E832" s="2"/>
      <c r="F832" s="2"/>
      <c r="G832" s="2"/>
      <c r="H832" s="2"/>
    </row>
    <row r="833" spans="5:8" ht="14.25" customHeight="1" x14ac:dyDescent="0.35">
      <c r="E833" s="2"/>
      <c r="F833" s="2"/>
      <c r="G833" s="2"/>
      <c r="H833" s="2"/>
    </row>
    <row r="834" spans="5:8" ht="14.25" customHeight="1" x14ac:dyDescent="0.35">
      <c r="E834" s="2"/>
      <c r="F834" s="2"/>
      <c r="G834" s="2"/>
      <c r="H834" s="2"/>
    </row>
    <row r="835" spans="5:8" ht="14.25" customHeight="1" x14ac:dyDescent="0.35">
      <c r="E835" s="2"/>
      <c r="F835" s="2"/>
      <c r="G835" s="2"/>
      <c r="H835" s="2"/>
    </row>
    <row r="836" spans="5:8" ht="14.25" customHeight="1" x14ac:dyDescent="0.35">
      <c r="E836" s="2"/>
      <c r="F836" s="2"/>
      <c r="G836" s="2"/>
      <c r="H836" s="2"/>
    </row>
    <row r="837" spans="5:8" ht="14.25" customHeight="1" x14ac:dyDescent="0.35">
      <c r="E837" s="2"/>
      <c r="F837" s="2"/>
      <c r="G837" s="2"/>
      <c r="H837" s="2"/>
    </row>
    <row r="838" spans="5:8" ht="14.25" customHeight="1" x14ac:dyDescent="0.35">
      <c r="E838" s="2"/>
      <c r="F838" s="2"/>
      <c r="G838" s="2"/>
      <c r="H838" s="2"/>
    </row>
    <row r="839" spans="5:8" ht="14.25" customHeight="1" x14ac:dyDescent="0.35">
      <c r="E839" s="2"/>
      <c r="F839" s="2"/>
      <c r="G839" s="2"/>
      <c r="H839" s="2"/>
    </row>
    <row r="840" spans="5:8" ht="14.25" customHeight="1" x14ac:dyDescent="0.35">
      <c r="E840" s="2"/>
      <c r="F840" s="2"/>
      <c r="G840" s="2"/>
      <c r="H840" s="2"/>
    </row>
    <row r="841" spans="5:8" ht="14.25" customHeight="1" x14ac:dyDescent="0.35">
      <c r="E841" s="2"/>
      <c r="F841" s="2"/>
      <c r="G841" s="2"/>
      <c r="H841" s="2"/>
    </row>
    <row r="842" spans="5:8" ht="14.25" customHeight="1" x14ac:dyDescent="0.35">
      <c r="E842" s="2"/>
      <c r="F842" s="2"/>
      <c r="G842" s="2"/>
      <c r="H842" s="2"/>
    </row>
    <row r="843" spans="5:8" ht="14.25" customHeight="1" x14ac:dyDescent="0.35">
      <c r="E843" s="2"/>
      <c r="F843" s="2"/>
      <c r="G843" s="2"/>
      <c r="H843" s="2"/>
    </row>
    <row r="844" spans="5:8" ht="14.25" customHeight="1" x14ac:dyDescent="0.35">
      <c r="E844" s="2"/>
      <c r="F844" s="2"/>
      <c r="G844" s="2"/>
      <c r="H844" s="2"/>
    </row>
    <row r="845" spans="5:8" ht="14.25" customHeight="1" x14ac:dyDescent="0.35">
      <c r="E845" s="2"/>
      <c r="F845" s="2"/>
      <c r="G845" s="2"/>
      <c r="H845" s="2"/>
    </row>
    <row r="846" spans="5:8" ht="14.25" customHeight="1" x14ac:dyDescent="0.35">
      <c r="E846" s="2"/>
      <c r="F846" s="2"/>
      <c r="G846" s="2"/>
      <c r="H846" s="2"/>
    </row>
    <row r="847" spans="5:8" ht="14.25" customHeight="1" x14ac:dyDescent="0.35">
      <c r="E847" s="2"/>
      <c r="F847" s="2"/>
      <c r="G847" s="2"/>
      <c r="H847" s="2"/>
    </row>
    <row r="848" spans="5:8" ht="14.25" customHeight="1" x14ac:dyDescent="0.35">
      <c r="E848" s="2"/>
      <c r="F848" s="2"/>
      <c r="G848" s="2"/>
      <c r="H848" s="2"/>
    </row>
    <row r="849" spans="5:8" ht="14.25" customHeight="1" x14ac:dyDescent="0.35">
      <c r="E849" s="2"/>
      <c r="F849" s="2"/>
      <c r="G849" s="2"/>
      <c r="H849" s="2"/>
    </row>
    <row r="850" spans="5:8" ht="14.25" customHeight="1" x14ac:dyDescent="0.35">
      <c r="E850" s="2"/>
      <c r="F850" s="2"/>
      <c r="G850" s="2"/>
      <c r="H850" s="2"/>
    </row>
    <row r="851" spans="5:8" ht="14.25" customHeight="1" x14ac:dyDescent="0.35">
      <c r="E851" s="2"/>
      <c r="F851" s="2"/>
      <c r="G851" s="2"/>
      <c r="H851" s="2"/>
    </row>
    <row r="852" spans="5:8" ht="14.25" customHeight="1" x14ac:dyDescent="0.35">
      <c r="E852" s="2"/>
      <c r="F852" s="2"/>
      <c r="G852" s="2"/>
      <c r="H852" s="2"/>
    </row>
    <row r="853" spans="5:8" ht="14.25" customHeight="1" x14ac:dyDescent="0.35">
      <c r="E853" s="2"/>
      <c r="F853" s="2"/>
      <c r="G853" s="2"/>
      <c r="H853" s="2"/>
    </row>
    <row r="854" spans="5:8" ht="14.25" customHeight="1" x14ac:dyDescent="0.35">
      <c r="E854" s="2"/>
      <c r="F854" s="2"/>
      <c r="G854" s="2"/>
      <c r="H854" s="2"/>
    </row>
    <row r="855" spans="5:8" ht="14.25" customHeight="1" x14ac:dyDescent="0.35">
      <c r="E855" s="2"/>
      <c r="F855" s="2"/>
      <c r="G855" s="2"/>
      <c r="H855" s="2"/>
    </row>
    <row r="856" spans="5:8" ht="14.25" customHeight="1" x14ac:dyDescent="0.35">
      <c r="E856" s="2"/>
      <c r="F856" s="2"/>
      <c r="G856" s="2"/>
      <c r="H856" s="2"/>
    </row>
    <row r="857" spans="5:8" ht="14.25" customHeight="1" x14ac:dyDescent="0.35">
      <c r="E857" s="2"/>
      <c r="F857" s="2"/>
      <c r="G857" s="2"/>
      <c r="H857" s="2"/>
    </row>
    <row r="858" spans="5:8" ht="14.25" customHeight="1" x14ac:dyDescent="0.35">
      <c r="E858" s="2"/>
      <c r="F858" s="2"/>
      <c r="G858" s="2"/>
      <c r="H858" s="2"/>
    </row>
    <row r="859" spans="5:8" ht="14.25" customHeight="1" x14ac:dyDescent="0.35">
      <c r="E859" s="2"/>
      <c r="F859" s="2"/>
      <c r="G859" s="2"/>
      <c r="H859" s="2"/>
    </row>
    <row r="860" spans="5:8" ht="14.25" customHeight="1" x14ac:dyDescent="0.35">
      <c r="E860" s="2"/>
      <c r="F860" s="2"/>
      <c r="G860" s="2"/>
      <c r="H860" s="2"/>
    </row>
    <row r="861" spans="5:8" ht="14.25" customHeight="1" x14ac:dyDescent="0.35">
      <c r="E861" s="2"/>
      <c r="F861" s="2"/>
      <c r="G861" s="2"/>
      <c r="H861" s="2"/>
    </row>
    <row r="862" spans="5:8" ht="14.25" customHeight="1" x14ac:dyDescent="0.35">
      <c r="E862" s="2"/>
      <c r="F862" s="2"/>
      <c r="G862" s="2"/>
      <c r="H862" s="2"/>
    </row>
    <row r="863" spans="5:8" ht="14.25" customHeight="1" x14ac:dyDescent="0.35">
      <c r="E863" s="2"/>
      <c r="F863" s="2"/>
      <c r="G863" s="2"/>
      <c r="H863" s="2"/>
    </row>
    <row r="864" spans="5:8" ht="14.25" customHeight="1" x14ac:dyDescent="0.35">
      <c r="E864" s="2"/>
      <c r="F864" s="2"/>
      <c r="G864" s="2"/>
      <c r="H864" s="2"/>
    </row>
    <row r="865" spans="5:8" ht="14.25" customHeight="1" x14ac:dyDescent="0.35">
      <c r="E865" s="2"/>
      <c r="F865" s="2"/>
      <c r="G865" s="2"/>
      <c r="H865" s="2"/>
    </row>
    <row r="866" spans="5:8" ht="14.25" customHeight="1" x14ac:dyDescent="0.35">
      <c r="E866" s="2"/>
      <c r="F866" s="2"/>
      <c r="G866" s="2"/>
      <c r="H866" s="2"/>
    </row>
    <row r="867" spans="5:8" ht="14.25" customHeight="1" x14ac:dyDescent="0.35">
      <c r="E867" s="2"/>
      <c r="F867" s="2"/>
      <c r="G867" s="2"/>
      <c r="H867" s="2"/>
    </row>
    <row r="868" spans="5:8" ht="14.25" customHeight="1" x14ac:dyDescent="0.35">
      <c r="E868" s="2"/>
      <c r="F868" s="2"/>
      <c r="G868" s="2"/>
      <c r="H868" s="2"/>
    </row>
    <row r="869" spans="5:8" ht="14.25" customHeight="1" x14ac:dyDescent="0.35">
      <c r="E869" s="2"/>
      <c r="F869" s="2"/>
      <c r="G869" s="2"/>
      <c r="H869" s="2"/>
    </row>
    <row r="870" spans="5:8" ht="14.25" customHeight="1" x14ac:dyDescent="0.35">
      <c r="E870" s="2"/>
      <c r="F870" s="2"/>
      <c r="G870" s="2"/>
      <c r="H870" s="2"/>
    </row>
    <row r="871" spans="5:8" ht="14.25" customHeight="1" x14ac:dyDescent="0.35">
      <c r="E871" s="2"/>
      <c r="F871" s="2"/>
      <c r="G871" s="2"/>
      <c r="H871" s="2"/>
    </row>
    <row r="872" spans="5:8" ht="14.25" customHeight="1" x14ac:dyDescent="0.35">
      <c r="E872" s="2"/>
      <c r="F872" s="2"/>
      <c r="G872" s="2"/>
      <c r="H872" s="2"/>
    </row>
    <row r="873" spans="5:8" ht="14.25" customHeight="1" x14ac:dyDescent="0.35">
      <c r="E873" s="2"/>
      <c r="F873" s="2"/>
      <c r="G873" s="2"/>
      <c r="H873" s="2"/>
    </row>
    <row r="874" spans="5:8" ht="14.25" customHeight="1" x14ac:dyDescent="0.35">
      <c r="E874" s="2"/>
      <c r="F874" s="2"/>
      <c r="G874" s="2"/>
      <c r="H874" s="2"/>
    </row>
    <row r="875" spans="5:8" ht="14.25" customHeight="1" x14ac:dyDescent="0.35">
      <c r="E875" s="2"/>
      <c r="F875" s="2"/>
      <c r="G875" s="2"/>
      <c r="H875" s="2"/>
    </row>
    <row r="876" spans="5:8" ht="14.25" customHeight="1" x14ac:dyDescent="0.35">
      <c r="E876" s="2"/>
      <c r="F876" s="2"/>
      <c r="G876" s="2"/>
      <c r="H876" s="2"/>
    </row>
    <row r="877" spans="5:8" ht="14.25" customHeight="1" x14ac:dyDescent="0.35">
      <c r="E877" s="2"/>
      <c r="F877" s="2"/>
      <c r="G877" s="2"/>
      <c r="H877" s="2"/>
    </row>
    <row r="878" spans="5:8" ht="14.25" customHeight="1" x14ac:dyDescent="0.35">
      <c r="E878" s="2"/>
      <c r="F878" s="2"/>
      <c r="G878" s="2"/>
      <c r="H878" s="2"/>
    </row>
    <row r="879" spans="5:8" ht="14.25" customHeight="1" x14ac:dyDescent="0.35">
      <c r="E879" s="2"/>
      <c r="F879" s="2"/>
      <c r="G879" s="2"/>
      <c r="H879" s="2"/>
    </row>
    <row r="880" spans="5:8" ht="14.25" customHeight="1" x14ac:dyDescent="0.35">
      <c r="E880" s="2"/>
      <c r="F880" s="2"/>
      <c r="G880" s="2"/>
      <c r="H880" s="2"/>
    </row>
    <row r="881" spans="5:8" ht="14.25" customHeight="1" x14ac:dyDescent="0.35">
      <c r="E881" s="2"/>
      <c r="F881" s="2"/>
      <c r="G881" s="2"/>
      <c r="H881" s="2"/>
    </row>
    <row r="882" spans="5:8" ht="14.25" customHeight="1" x14ac:dyDescent="0.35">
      <c r="E882" s="2"/>
      <c r="F882" s="2"/>
      <c r="G882" s="2"/>
      <c r="H882" s="2"/>
    </row>
    <row r="883" spans="5:8" ht="14.25" customHeight="1" x14ac:dyDescent="0.35">
      <c r="E883" s="2"/>
      <c r="F883" s="2"/>
      <c r="G883" s="2"/>
      <c r="H883" s="2"/>
    </row>
    <row r="884" spans="5:8" ht="14.25" customHeight="1" x14ac:dyDescent="0.35">
      <c r="E884" s="2"/>
      <c r="F884" s="2"/>
      <c r="G884" s="2"/>
      <c r="H884" s="2"/>
    </row>
    <row r="885" spans="5:8" ht="14.25" customHeight="1" x14ac:dyDescent="0.35">
      <c r="E885" s="2"/>
      <c r="F885" s="2"/>
      <c r="G885" s="2"/>
      <c r="H885" s="2"/>
    </row>
    <row r="886" spans="5:8" ht="14.25" customHeight="1" x14ac:dyDescent="0.35">
      <c r="E886" s="2"/>
      <c r="F886" s="2"/>
      <c r="G886" s="2"/>
      <c r="H886" s="2"/>
    </row>
    <row r="887" spans="5:8" ht="14.25" customHeight="1" x14ac:dyDescent="0.35">
      <c r="E887" s="2"/>
      <c r="F887" s="2"/>
      <c r="G887" s="2"/>
      <c r="H887" s="2"/>
    </row>
    <row r="888" spans="5:8" ht="14.25" customHeight="1" x14ac:dyDescent="0.35">
      <c r="E888" s="2"/>
      <c r="F888" s="2"/>
      <c r="G888" s="2"/>
      <c r="H888" s="2"/>
    </row>
    <row r="889" spans="5:8" ht="14.25" customHeight="1" x14ac:dyDescent="0.35">
      <c r="E889" s="2"/>
      <c r="F889" s="2"/>
      <c r="G889" s="2"/>
      <c r="H889" s="2"/>
    </row>
    <row r="890" spans="5:8" ht="14.25" customHeight="1" x14ac:dyDescent="0.35">
      <c r="E890" s="2"/>
      <c r="F890" s="2"/>
      <c r="G890" s="2"/>
      <c r="H890" s="2"/>
    </row>
    <row r="891" spans="5:8" ht="14.25" customHeight="1" x14ac:dyDescent="0.35">
      <c r="E891" s="2"/>
      <c r="F891" s="2"/>
      <c r="G891" s="2"/>
      <c r="H891" s="2"/>
    </row>
    <row r="892" spans="5:8" ht="14.25" customHeight="1" x14ac:dyDescent="0.35">
      <c r="E892" s="2"/>
      <c r="F892" s="2"/>
      <c r="G892" s="2"/>
      <c r="H892" s="2"/>
    </row>
    <row r="893" spans="5:8" ht="14.25" customHeight="1" x14ac:dyDescent="0.35">
      <c r="E893" s="2"/>
      <c r="F893" s="2"/>
      <c r="G893" s="2"/>
      <c r="H893" s="2"/>
    </row>
    <row r="894" spans="5:8" ht="14.25" customHeight="1" x14ac:dyDescent="0.35">
      <c r="E894" s="2"/>
      <c r="F894" s="2"/>
      <c r="G894" s="2"/>
      <c r="H894" s="2"/>
    </row>
    <row r="895" spans="5:8" ht="14.25" customHeight="1" x14ac:dyDescent="0.35">
      <c r="E895" s="2"/>
      <c r="F895" s="2"/>
      <c r="G895" s="2"/>
      <c r="H895" s="2"/>
    </row>
    <row r="896" spans="5:8" ht="14.25" customHeight="1" x14ac:dyDescent="0.35">
      <c r="E896" s="2"/>
      <c r="F896" s="2"/>
      <c r="G896" s="2"/>
      <c r="H896" s="2"/>
    </row>
    <row r="897" spans="5:8" ht="14.25" customHeight="1" x14ac:dyDescent="0.35">
      <c r="E897" s="2"/>
      <c r="F897" s="2"/>
      <c r="G897" s="2"/>
      <c r="H897" s="2"/>
    </row>
    <row r="898" spans="5:8" ht="14.25" customHeight="1" x14ac:dyDescent="0.35">
      <c r="E898" s="2"/>
      <c r="F898" s="2"/>
      <c r="G898" s="2"/>
      <c r="H898" s="2"/>
    </row>
    <row r="899" spans="5:8" ht="14.25" customHeight="1" x14ac:dyDescent="0.35">
      <c r="E899" s="2"/>
      <c r="F899" s="2"/>
      <c r="G899" s="2"/>
      <c r="H899" s="2"/>
    </row>
    <row r="900" spans="5:8" ht="14.25" customHeight="1" x14ac:dyDescent="0.35">
      <c r="E900" s="2"/>
      <c r="F900" s="2"/>
      <c r="G900" s="2"/>
      <c r="H900" s="2"/>
    </row>
    <row r="901" spans="5:8" ht="14.25" customHeight="1" x14ac:dyDescent="0.35">
      <c r="E901" s="2"/>
      <c r="F901" s="2"/>
      <c r="G901" s="2"/>
      <c r="H901" s="2"/>
    </row>
    <row r="902" spans="5:8" ht="14.25" customHeight="1" x14ac:dyDescent="0.35">
      <c r="E902" s="2"/>
      <c r="F902" s="2"/>
      <c r="G902" s="2"/>
      <c r="H902" s="2"/>
    </row>
    <row r="903" spans="5:8" ht="14.25" customHeight="1" x14ac:dyDescent="0.35">
      <c r="E903" s="2"/>
      <c r="F903" s="2"/>
      <c r="G903" s="2"/>
      <c r="H903" s="2"/>
    </row>
    <row r="904" spans="5:8" ht="14.25" customHeight="1" x14ac:dyDescent="0.35">
      <c r="E904" s="2"/>
      <c r="F904" s="2"/>
      <c r="G904" s="2"/>
      <c r="H904" s="2"/>
    </row>
    <row r="905" spans="5:8" ht="14.25" customHeight="1" x14ac:dyDescent="0.35">
      <c r="E905" s="2"/>
      <c r="F905" s="2"/>
      <c r="G905" s="2"/>
      <c r="H905" s="2"/>
    </row>
    <row r="906" spans="5:8" ht="14.25" customHeight="1" x14ac:dyDescent="0.35">
      <c r="E906" s="2"/>
      <c r="F906" s="2"/>
      <c r="G906" s="2"/>
      <c r="H906" s="2"/>
    </row>
    <row r="907" spans="5:8" ht="14.25" customHeight="1" x14ac:dyDescent="0.35">
      <c r="E907" s="2"/>
      <c r="F907" s="2"/>
      <c r="G907" s="2"/>
      <c r="H907" s="2"/>
    </row>
    <row r="908" spans="5:8" ht="14.25" customHeight="1" x14ac:dyDescent="0.35">
      <c r="E908" s="2"/>
      <c r="F908" s="2"/>
      <c r="G908" s="2"/>
      <c r="H908" s="2"/>
    </row>
    <row r="909" spans="5:8" ht="14.25" customHeight="1" x14ac:dyDescent="0.35">
      <c r="E909" s="2"/>
      <c r="F909" s="2"/>
      <c r="G909" s="2"/>
      <c r="H909" s="2"/>
    </row>
    <row r="910" spans="5:8" ht="14.25" customHeight="1" x14ac:dyDescent="0.35">
      <c r="E910" s="2"/>
      <c r="F910" s="2"/>
      <c r="G910" s="2"/>
      <c r="H910" s="2"/>
    </row>
    <row r="911" spans="5:8" ht="14.25" customHeight="1" x14ac:dyDescent="0.35">
      <c r="E911" s="2"/>
      <c r="F911" s="2"/>
      <c r="G911" s="2"/>
      <c r="H911" s="2"/>
    </row>
    <row r="912" spans="5:8" ht="14.25" customHeight="1" x14ac:dyDescent="0.35">
      <c r="E912" s="2"/>
      <c r="F912" s="2"/>
      <c r="G912" s="2"/>
      <c r="H912" s="2"/>
    </row>
    <row r="913" spans="5:8" ht="14.25" customHeight="1" x14ac:dyDescent="0.35">
      <c r="E913" s="2"/>
      <c r="F913" s="2"/>
      <c r="G913" s="2"/>
      <c r="H913" s="2"/>
    </row>
    <row r="914" spans="5:8" ht="14.25" customHeight="1" x14ac:dyDescent="0.35">
      <c r="E914" s="2"/>
      <c r="F914" s="2"/>
      <c r="G914" s="2"/>
      <c r="H914" s="2"/>
    </row>
    <row r="915" spans="5:8" ht="14.25" customHeight="1" x14ac:dyDescent="0.35">
      <c r="E915" s="2"/>
      <c r="F915" s="2"/>
      <c r="G915" s="2"/>
      <c r="H915" s="2"/>
    </row>
    <row r="916" spans="5:8" ht="14.25" customHeight="1" x14ac:dyDescent="0.35">
      <c r="E916" s="2"/>
      <c r="F916" s="2"/>
      <c r="G916" s="2"/>
      <c r="H916" s="2"/>
    </row>
    <row r="917" spans="5:8" ht="14.25" customHeight="1" x14ac:dyDescent="0.35">
      <c r="E917" s="2"/>
      <c r="F917" s="2"/>
      <c r="G917" s="2"/>
      <c r="H917" s="2"/>
    </row>
    <row r="918" spans="5:8" ht="14.25" customHeight="1" x14ac:dyDescent="0.35">
      <c r="E918" s="2"/>
      <c r="F918" s="2"/>
      <c r="G918" s="2"/>
      <c r="H918" s="2"/>
    </row>
    <row r="919" spans="5:8" ht="14.25" customHeight="1" x14ac:dyDescent="0.35">
      <c r="E919" s="2"/>
      <c r="F919" s="2"/>
      <c r="G919" s="2"/>
      <c r="H919" s="2"/>
    </row>
    <row r="920" spans="5:8" ht="14.25" customHeight="1" x14ac:dyDescent="0.35">
      <c r="E920" s="2"/>
      <c r="F920" s="2"/>
      <c r="G920" s="2"/>
      <c r="H920" s="2"/>
    </row>
    <row r="921" spans="5:8" ht="14.25" customHeight="1" x14ac:dyDescent="0.35">
      <c r="E921" s="2"/>
      <c r="F921" s="2"/>
      <c r="G921" s="2"/>
      <c r="H921" s="2"/>
    </row>
    <row r="922" spans="5:8" ht="14.25" customHeight="1" x14ac:dyDescent="0.35">
      <c r="E922" s="2"/>
      <c r="F922" s="2"/>
      <c r="G922" s="2"/>
      <c r="H922" s="2"/>
    </row>
    <row r="923" spans="5:8" ht="14.25" customHeight="1" x14ac:dyDescent="0.35">
      <c r="E923" s="2"/>
      <c r="F923" s="2"/>
      <c r="G923" s="2"/>
      <c r="H923" s="2"/>
    </row>
    <row r="924" spans="5:8" ht="14.25" customHeight="1" x14ac:dyDescent="0.35">
      <c r="E924" s="2"/>
      <c r="F924" s="2"/>
      <c r="G924" s="2"/>
      <c r="H924" s="2"/>
    </row>
    <row r="925" spans="5:8" ht="14.25" customHeight="1" x14ac:dyDescent="0.35">
      <c r="E925" s="2"/>
      <c r="F925" s="2"/>
      <c r="G925" s="2"/>
      <c r="H925" s="2"/>
    </row>
    <row r="926" spans="5:8" ht="14.25" customHeight="1" x14ac:dyDescent="0.35">
      <c r="E926" s="2"/>
      <c r="F926" s="2"/>
      <c r="G926" s="2"/>
      <c r="H926" s="2"/>
    </row>
    <row r="927" spans="5:8" ht="14.25" customHeight="1" x14ac:dyDescent="0.35">
      <c r="E927" s="2"/>
      <c r="F927" s="2"/>
      <c r="G927" s="2"/>
      <c r="H927" s="2"/>
    </row>
    <row r="928" spans="5:8" ht="14.25" customHeight="1" x14ac:dyDescent="0.35">
      <c r="E928" s="2"/>
      <c r="F928" s="2"/>
      <c r="G928" s="2"/>
      <c r="H928" s="2"/>
    </row>
    <row r="929" spans="5:8" ht="14.25" customHeight="1" x14ac:dyDescent="0.35">
      <c r="E929" s="2"/>
      <c r="F929" s="2"/>
      <c r="G929" s="2"/>
      <c r="H929" s="2"/>
    </row>
    <row r="930" spans="5:8" ht="14.25" customHeight="1" x14ac:dyDescent="0.35">
      <c r="E930" s="2"/>
      <c r="F930" s="2"/>
      <c r="G930" s="2"/>
      <c r="H930" s="2"/>
    </row>
    <row r="931" spans="5:8" ht="14.25" customHeight="1" x14ac:dyDescent="0.35">
      <c r="E931" s="2"/>
      <c r="F931" s="2"/>
      <c r="G931" s="2"/>
      <c r="H931" s="2"/>
    </row>
    <row r="932" spans="5:8" ht="14.25" customHeight="1" x14ac:dyDescent="0.35">
      <c r="E932" s="2"/>
      <c r="F932" s="2"/>
      <c r="G932" s="2"/>
      <c r="H932" s="2"/>
    </row>
    <row r="933" spans="5:8" ht="14.25" customHeight="1" x14ac:dyDescent="0.35">
      <c r="E933" s="2"/>
      <c r="F933" s="2"/>
      <c r="G933" s="2"/>
      <c r="H933" s="2"/>
    </row>
    <row r="934" spans="5:8" ht="14.25" customHeight="1" x14ac:dyDescent="0.35">
      <c r="E934" s="2"/>
      <c r="F934" s="2"/>
      <c r="G934" s="2"/>
      <c r="H934" s="2"/>
    </row>
    <row r="935" spans="5:8" ht="14.25" customHeight="1" x14ac:dyDescent="0.35">
      <c r="E935" s="2"/>
      <c r="F935" s="2"/>
      <c r="G935" s="2"/>
      <c r="H935" s="2"/>
    </row>
    <row r="936" spans="5:8" ht="14.25" customHeight="1" x14ac:dyDescent="0.35">
      <c r="E936" s="2"/>
      <c r="F936" s="2"/>
      <c r="G936" s="2"/>
      <c r="H936" s="2"/>
    </row>
    <row r="937" spans="5:8" ht="14.25" customHeight="1" x14ac:dyDescent="0.35">
      <c r="E937" s="2"/>
      <c r="F937" s="2"/>
      <c r="G937" s="2"/>
      <c r="H937" s="2"/>
    </row>
    <row r="938" spans="5:8" ht="14.25" customHeight="1" x14ac:dyDescent="0.35">
      <c r="E938" s="2"/>
      <c r="F938" s="2"/>
      <c r="G938" s="2"/>
      <c r="H938" s="2"/>
    </row>
    <row r="939" spans="5:8" ht="14.25" customHeight="1" x14ac:dyDescent="0.35">
      <c r="E939" s="2"/>
      <c r="F939" s="2"/>
      <c r="G939" s="2"/>
      <c r="H939" s="2"/>
    </row>
    <row r="940" spans="5:8" ht="14.25" customHeight="1" x14ac:dyDescent="0.35">
      <c r="E940" s="2"/>
      <c r="F940" s="2"/>
      <c r="G940" s="2"/>
      <c r="H940" s="2"/>
    </row>
    <row r="941" spans="5:8" ht="14.25" customHeight="1" x14ac:dyDescent="0.35">
      <c r="E941" s="2"/>
      <c r="F941" s="2"/>
      <c r="G941" s="2"/>
      <c r="H941" s="2"/>
    </row>
    <row r="942" spans="5:8" ht="14.25" customHeight="1" x14ac:dyDescent="0.35">
      <c r="E942" s="2"/>
      <c r="F942" s="2"/>
      <c r="G942" s="2"/>
      <c r="H942" s="2"/>
    </row>
    <row r="943" spans="5:8" ht="14.25" customHeight="1" x14ac:dyDescent="0.35">
      <c r="E943" s="2"/>
      <c r="F943" s="2"/>
      <c r="G943" s="2"/>
      <c r="H943" s="2"/>
    </row>
    <row r="944" spans="5:8" ht="14.25" customHeight="1" x14ac:dyDescent="0.35">
      <c r="E944" s="2"/>
      <c r="F944" s="2"/>
      <c r="G944" s="2"/>
      <c r="H944" s="2"/>
    </row>
    <row r="945" spans="5:8" ht="14.25" customHeight="1" x14ac:dyDescent="0.35">
      <c r="E945" s="2"/>
      <c r="F945" s="2"/>
      <c r="G945" s="2"/>
      <c r="H945" s="2"/>
    </row>
    <row r="946" spans="5:8" ht="14.25" customHeight="1" x14ac:dyDescent="0.35">
      <c r="E946" s="2"/>
      <c r="F946" s="2"/>
      <c r="G946" s="2"/>
      <c r="H946" s="2"/>
    </row>
    <row r="947" spans="5:8" ht="14.25" customHeight="1" x14ac:dyDescent="0.35">
      <c r="E947" s="2"/>
      <c r="F947" s="2"/>
      <c r="G947" s="2"/>
      <c r="H947" s="2"/>
    </row>
    <row r="948" spans="5:8" ht="14.25" customHeight="1" x14ac:dyDescent="0.35">
      <c r="E948" s="2"/>
      <c r="F948" s="2"/>
      <c r="G948" s="2"/>
      <c r="H948" s="2"/>
    </row>
    <row r="949" spans="5:8" ht="14.25" customHeight="1" x14ac:dyDescent="0.35">
      <c r="E949" s="2"/>
      <c r="F949" s="2"/>
      <c r="G949" s="2"/>
      <c r="H949" s="2"/>
    </row>
    <row r="950" spans="5:8" ht="14.25" customHeight="1" x14ac:dyDescent="0.35">
      <c r="E950" s="2"/>
      <c r="F950" s="2"/>
      <c r="G950" s="2"/>
      <c r="H950" s="2"/>
    </row>
    <row r="951" spans="5:8" ht="14.25" customHeight="1" x14ac:dyDescent="0.35">
      <c r="E951" s="2"/>
      <c r="F951" s="2"/>
      <c r="G951" s="2"/>
      <c r="H951" s="2"/>
    </row>
    <row r="952" spans="5:8" ht="14.25" customHeight="1" x14ac:dyDescent="0.35">
      <c r="E952" s="2"/>
      <c r="F952" s="2"/>
      <c r="G952" s="2"/>
      <c r="H952" s="2"/>
    </row>
    <row r="953" spans="5:8" ht="14.25" customHeight="1" x14ac:dyDescent="0.35">
      <c r="E953" s="2"/>
      <c r="F953" s="2"/>
      <c r="G953" s="2"/>
      <c r="H953" s="2"/>
    </row>
    <row r="954" spans="5:8" ht="14.25" customHeight="1" x14ac:dyDescent="0.35">
      <c r="E954" s="2"/>
      <c r="F954" s="2"/>
      <c r="G954" s="2"/>
      <c r="H954" s="2"/>
    </row>
    <row r="955" spans="5:8" ht="14.25" customHeight="1" x14ac:dyDescent="0.35">
      <c r="E955" s="2"/>
      <c r="F955" s="2"/>
      <c r="G955" s="2"/>
      <c r="H955" s="2"/>
    </row>
    <row r="956" spans="5:8" ht="14.25" customHeight="1" x14ac:dyDescent="0.35">
      <c r="E956" s="2"/>
      <c r="F956" s="2"/>
      <c r="G956" s="2"/>
      <c r="H956" s="2"/>
    </row>
    <row r="957" spans="5:8" ht="14.25" customHeight="1" x14ac:dyDescent="0.35">
      <c r="E957" s="2"/>
      <c r="F957" s="2"/>
      <c r="G957" s="2"/>
      <c r="H957" s="2"/>
    </row>
    <row r="958" spans="5:8" ht="14.25" customHeight="1" x14ac:dyDescent="0.35">
      <c r="E958" s="2"/>
      <c r="F958" s="2"/>
      <c r="G958" s="2"/>
      <c r="H958" s="2"/>
    </row>
    <row r="959" spans="5:8" ht="14.25" customHeight="1" x14ac:dyDescent="0.35">
      <c r="E959" s="2"/>
      <c r="F959" s="2"/>
      <c r="G959" s="2"/>
      <c r="H959" s="2"/>
    </row>
    <row r="960" spans="5:8" ht="14.25" customHeight="1" x14ac:dyDescent="0.35">
      <c r="E960" s="2"/>
      <c r="F960" s="2"/>
      <c r="G960" s="2"/>
      <c r="H960" s="2"/>
    </row>
    <row r="961" spans="5:8" ht="14.25" customHeight="1" x14ac:dyDescent="0.35">
      <c r="E961" s="2"/>
      <c r="F961" s="2"/>
      <c r="G961" s="2"/>
      <c r="H961" s="2"/>
    </row>
    <row r="962" spans="5:8" ht="14.25" customHeight="1" x14ac:dyDescent="0.35">
      <c r="E962" s="2"/>
      <c r="F962" s="2"/>
      <c r="G962" s="2"/>
      <c r="H962" s="2"/>
    </row>
    <row r="963" spans="5:8" ht="14.25" customHeight="1" x14ac:dyDescent="0.35">
      <c r="E963" s="2"/>
      <c r="F963" s="2"/>
      <c r="G963" s="2"/>
      <c r="H963" s="2"/>
    </row>
    <row r="964" spans="5:8" ht="14.25" customHeight="1" x14ac:dyDescent="0.35">
      <c r="E964" s="2"/>
      <c r="F964" s="2"/>
      <c r="G964" s="2"/>
      <c r="H964" s="2"/>
    </row>
    <row r="965" spans="5:8" ht="14.25" customHeight="1" x14ac:dyDescent="0.35">
      <c r="E965" s="2"/>
      <c r="F965" s="2"/>
      <c r="G965" s="2"/>
      <c r="H965" s="2"/>
    </row>
    <row r="966" spans="5:8" ht="14.25" customHeight="1" x14ac:dyDescent="0.35">
      <c r="E966" s="2"/>
      <c r="F966" s="2"/>
      <c r="G966" s="2"/>
      <c r="H966" s="2"/>
    </row>
    <row r="967" spans="5:8" ht="14.25" customHeight="1" x14ac:dyDescent="0.35">
      <c r="E967" s="2"/>
      <c r="F967" s="2"/>
      <c r="G967" s="2"/>
      <c r="H967" s="2"/>
    </row>
    <row r="968" spans="5:8" ht="14.25" customHeight="1" x14ac:dyDescent="0.35">
      <c r="E968" s="2"/>
      <c r="F968" s="2"/>
      <c r="G968" s="2"/>
      <c r="H968" s="2"/>
    </row>
    <row r="969" spans="5:8" ht="14.25" customHeight="1" x14ac:dyDescent="0.35">
      <c r="E969" s="2"/>
      <c r="F969" s="2"/>
      <c r="G969" s="2"/>
      <c r="H969" s="2"/>
    </row>
    <row r="970" spans="5:8" ht="14.25" customHeight="1" x14ac:dyDescent="0.35">
      <c r="E970" s="2"/>
      <c r="F970" s="2"/>
      <c r="G970" s="2"/>
      <c r="H970" s="2"/>
    </row>
    <row r="971" spans="5:8" ht="14.25" customHeight="1" x14ac:dyDescent="0.35">
      <c r="E971" s="2"/>
      <c r="F971" s="2"/>
      <c r="G971" s="2"/>
      <c r="H971" s="2"/>
    </row>
    <row r="972" spans="5:8" ht="14.25" customHeight="1" x14ac:dyDescent="0.35">
      <c r="E972" s="2"/>
      <c r="F972" s="2"/>
      <c r="G972" s="2"/>
      <c r="H972" s="2"/>
    </row>
    <row r="973" spans="5:8" ht="14.25" customHeight="1" x14ac:dyDescent="0.35">
      <c r="E973" s="2"/>
      <c r="F973" s="2"/>
      <c r="G973" s="2"/>
      <c r="H973" s="2"/>
    </row>
    <row r="974" spans="5:8" ht="14.25" customHeight="1" x14ac:dyDescent="0.35">
      <c r="E974" s="2"/>
      <c r="F974" s="2"/>
      <c r="G974" s="2"/>
      <c r="H974" s="2"/>
    </row>
    <row r="975" spans="5:8" ht="14.25" customHeight="1" x14ac:dyDescent="0.35">
      <c r="E975" s="2"/>
      <c r="F975" s="2"/>
      <c r="G975" s="2"/>
      <c r="H975" s="2"/>
    </row>
    <row r="976" spans="5:8" ht="14.25" customHeight="1" x14ac:dyDescent="0.35">
      <c r="E976" s="2"/>
      <c r="F976" s="2"/>
      <c r="G976" s="2"/>
      <c r="H976" s="2"/>
    </row>
    <row r="977" spans="5:8" ht="14.25" customHeight="1" x14ac:dyDescent="0.35">
      <c r="E977" s="2"/>
      <c r="F977" s="2"/>
      <c r="G977" s="2"/>
      <c r="H977" s="2"/>
    </row>
    <row r="978" spans="5:8" ht="14.25" customHeight="1" x14ac:dyDescent="0.35">
      <c r="E978" s="2"/>
      <c r="F978" s="2"/>
      <c r="G978" s="2"/>
      <c r="H978" s="2"/>
    </row>
    <row r="979" spans="5:8" ht="14.25" customHeight="1" x14ac:dyDescent="0.35">
      <c r="E979" s="2"/>
      <c r="F979" s="2"/>
      <c r="G979" s="2"/>
      <c r="H979" s="2"/>
    </row>
    <row r="980" spans="5:8" ht="14.25" customHeight="1" x14ac:dyDescent="0.35">
      <c r="E980" s="2"/>
      <c r="F980" s="2"/>
      <c r="G980" s="2"/>
      <c r="H980" s="2"/>
    </row>
    <row r="981" spans="5:8" ht="14.25" customHeight="1" x14ac:dyDescent="0.35">
      <c r="E981" s="2"/>
      <c r="F981" s="2"/>
      <c r="G981" s="2"/>
      <c r="H981" s="2"/>
    </row>
    <row r="982" spans="5:8" ht="14.25" customHeight="1" x14ac:dyDescent="0.35">
      <c r="E982" s="2"/>
      <c r="F982" s="2"/>
      <c r="G982" s="2"/>
      <c r="H982" s="2"/>
    </row>
    <row r="983" spans="5:8" ht="14.25" customHeight="1" x14ac:dyDescent="0.35">
      <c r="E983" s="2"/>
      <c r="F983" s="2"/>
      <c r="G983" s="2"/>
      <c r="H983" s="2"/>
    </row>
    <row r="984" spans="5:8" ht="14.25" customHeight="1" x14ac:dyDescent="0.35">
      <c r="E984" s="2"/>
      <c r="F984" s="2"/>
      <c r="G984" s="2"/>
      <c r="H984" s="2"/>
    </row>
    <row r="985" spans="5:8" ht="14.25" customHeight="1" x14ac:dyDescent="0.35">
      <c r="E985" s="2"/>
      <c r="F985" s="2"/>
      <c r="G985" s="2"/>
      <c r="H985" s="2"/>
    </row>
    <row r="986" spans="5:8" ht="14.25" customHeight="1" x14ac:dyDescent="0.35">
      <c r="E986" s="2"/>
      <c r="F986" s="2"/>
      <c r="G986" s="2"/>
      <c r="H986" s="2"/>
    </row>
    <row r="987" spans="5:8" ht="14.25" customHeight="1" x14ac:dyDescent="0.35">
      <c r="E987" s="2"/>
      <c r="F987" s="2"/>
      <c r="G987" s="2"/>
      <c r="H987" s="2"/>
    </row>
    <row r="988" spans="5:8" ht="14.25" customHeight="1" x14ac:dyDescent="0.35">
      <c r="E988" s="2"/>
      <c r="F988" s="2"/>
      <c r="G988" s="2"/>
      <c r="H988" s="2"/>
    </row>
    <row r="989" spans="5:8" ht="14.25" customHeight="1" x14ac:dyDescent="0.35">
      <c r="E989" s="2"/>
      <c r="F989" s="2"/>
      <c r="G989" s="2"/>
      <c r="H989" s="2"/>
    </row>
    <row r="990" spans="5:8" ht="14.25" customHeight="1" x14ac:dyDescent="0.35">
      <c r="E990" s="2"/>
      <c r="F990" s="2"/>
      <c r="G990" s="2"/>
      <c r="H990" s="2"/>
    </row>
    <row r="991" spans="5:8" ht="14.25" customHeight="1" x14ac:dyDescent="0.35">
      <c r="E991" s="2"/>
      <c r="F991" s="2"/>
      <c r="G991" s="2"/>
      <c r="H991" s="2"/>
    </row>
    <row r="992" spans="5:8" ht="14.25" customHeight="1" x14ac:dyDescent="0.35">
      <c r="E992" s="2"/>
      <c r="F992" s="2"/>
      <c r="G992" s="2"/>
      <c r="H992" s="2"/>
    </row>
    <row r="993" spans="5:8" ht="14.25" customHeight="1" x14ac:dyDescent="0.35">
      <c r="E993" s="2"/>
      <c r="F993" s="2"/>
      <c r="G993" s="2"/>
      <c r="H993" s="2"/>
    </row>
    <row r="994" spans="5:8" ht="14.25" customHeight="1" x14ac:dyDescent="0.35">
      <c r="E994" s="2"/>
      <c r="F994" s="2"/>
      <c r="G994" s="2"/>
      <c r="H994" s="2"/>
    </row>
    <row r="995" spans="5:8" ht="14.25" customHeight="1" x14ac:dyDescent="0.35">
      <c r="E995" s="2"/>
      <c r="F995" s="2"/>
      <c r="G995" s="2"/>
      <c r="H995" s="2"/>
    </row>
    <row r="996" spans="5:8" ht="14.25" customHeight="1" x14ac:dyDescent="0.35">
      <c r="E996" s="2"/>
      <c r="F996" s="2"/>
      <c r="G996" s="2"/>
      <c r="H996" s="2"/>
    </row>
    <row r="997" spans="5:8" ht="14.25" customHeight="1" x14ac:dyDescent="0.35">
      <c r="E997" s="2"/>
      <c r="F997" s="2"/>
      <c r="G997" s="2"/>
      <c r="H997" s="2"/>
    </row>
    <row r="998" spans="5:8" ht="14.25" customHeight="1" x14ac:dyDescent="0.35">
      <c r="E998" s="2"/>
      <c r="F998" s="2"/>
      <c r="G998" s="2"/>
      <c r="H998" s="2"/>
    </row>
    <row r="999" spans="5:8" ht="14.25" customHeight="1" x14ac:dyDescent="0.35">
      <c r="E999" s="2"/>
      <c r="F999" s="2"/>
      <c r="G999" s="2"/>
      <c r="H999" s="2"/>
    </row>
    <row r="1000" spans="5:8" ht="14.25" customHeight="1" x14ac:dyDescent="0.35">
      <c r="E1000" s="2"/>
      <c r="F1000" s="2"/>
      <c r="G1000" s="2"/>
      <c r="H1000" s="2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B31" sqref="B31"/>
    </sheetView>
  </sheetViews>
  <sheetFormatPr defaultColWidth="14.453125" defaultRowHeight="15" customHeight="1" x14ac:dyDescent="0.35"/>
  <cols>
    <col min="1" max="1" width="8.81640625" customWidth="1"/>
    <col min="2" max="2" width="14.54296875" customWidth="1"/>
    <col min="3" max="3" width="12" customWidth="1"/>
    <col min="4" max="4" width="16" customWidth="1"/>
    <col min="5" max="7" width="8.7265625" customWidth="1"/>
    <col min="8" max="8" width="8.81640625" customWidth="1"/>
    <col min="9" max="26" width="8.7265625" customWidth="1"/>
  </cols>
  <sheetData>
    <row r="1" spans="1:4" ht="14.25" customHeight="1" x14ac:dyDescent="0.35">
      <c r="B1" s="4"/>
      <c r="C1" s="5"/>
    </row>
    <row r="2" spans="1:4" ht="14.25" customHeight="1" x14ac:dyDescent="0.35">
      <c r="A2" s="1" t="s">
        <v>41</v>
      </c>
      <c r="B2" s="4" t="s">
        <v>42</v>
      </c>
      <c r="C2" s="5" t="s">
        <v>43</v>
      </c>
      <c r="D2" s="1" t="s">
        <v>44</v>
      </c>
    </row>
    <row r="3" spans="1:4" ht="14.25" customHeight="1" x14ac:dyDescent="0.35">
      <c r="A3" s="1">
        <v>1</v>
      </c>
      <c r="B3" s="4">
        <v>2.8413064697717907</v>
      </c>
      <c r="C3" s="5">
        <v>56.394255202399854</v>
      </c>
      <c r="D3" s="4">
        <v>0.54255899440706989</v>
      </c>
    </row>
    <row r="4" spans="1:4" ht="14.25" customHeight="1" x14ac:dyDescent="0.35">
      <c r="A4" s="1">
        <v>4</v>
      </c>
      <c r="B4" s="4">
        <v>2.5037188976248204</v>
      </c>
      <c r="C4" s="5">
        <v>63.711481025370567</v>
      </c>
      <c r="D4" s="4">
        <v>2.8641274571122279</v>
      </c>
    </row>
    <row r="5" spans="1:4" ht="14.25" customHeight="1" x14ac:dyDescent="0.35">
      <c r="A5" s="1">
        <v>8</v>
      </c>
      <c r="B5" s="4">
        <v>7.0719385776231567</v>
      </c>
      <c r="C5" s="5">
        <v>83.945042282436248</v>
      </c>
      <c r="D5" s="4">
        <v>3.1756792969318344</v>
      </c>
    </row>
    <row r="6" spans="1:4" ht="14.25" customHeight="1" x14ac:dyDescent="0.35">
      <c r="A6" s="1">
        <v>14</v>
      </c>
      <c r="B6" s="4">
        <v>2.9214487533555857</v>
      </c>
      <c r="C6" s="5">
        <v>17.501380475592576</v>
      </c>
      <c r="D6" s="4">
        <v>0.38211002864978488</v>
      </c>
    </row>
    <row r="7" spans="1:4" ht="14.25" customHeight="1" x14ac:dyDescent="0.35">
      <c r="A7" s="1">
        <v>16</v>
      </c>
      <c r="B7" s="4">
        <v>6.5402017461972184</v>
      </c>
      <c r="C7" s="5">
        <v>83.817511484980415</v>
      </c>
      <c r="D7" s="4">
        <v>2.9351670972363189</v>
      </c>
    </row>
    <row r="8" spans="1:4" ht="14.25" customHeight="1" x14ac:dyDescent="0.35">
      <c r="A8" s="1">
        <v>17</v>
      </c>
      <c r="B8" s="4">
        <v>5.4591373452836178</v>
      </c>
      <c r="C8" s="5">
        <v>72.344381620845084</v>
      </c>
      <c r="D8" s="4">
        <v>2.3769663359668649</v>
      </c>
    </row>
    <row r="9" spans="1:4" ht="14.25" customHeight="1" x14ac:dyDescent="0.35">
      <c r="A9" s="1">
        <v>18</v>
      </c>
      <c r="B9" s="4">
        <v>4.0791284832946362</v>
      </c>
      <c r="C9" s="5">
        <v>62.080306641899455</v>
      </c>
      <c r="D9" s="4">
        <v>2.6252338807744091</v>
      </c>
    </row>
    <row r="10" spans="1:4" ht="14.25" customHeight="1" x14ac:dyDescent="0.35">
      <c r="A10" s="1">
        <v>19</v>
      </c>
      <c r="B10" s="4">
        <v>6.8546947112993406</v>
      </c>
      <c r="C10" s="5">
        <v>3.9176987602417612</v>
      </c>
      <c r="D10" s="4">
        <v>2.8831571025905278</v>
      </c>
    </row>
    <row r="11" spans="1:4" ht="14.25" customHeight="1" x14ac:dyDescent="0.35">
      <c r="A11" s="1">
        <v>23</v>
      </c>
      <c r="B11" s="4">
        <v>1.9335633747787351</v>
      </c>
      <c r="C11" s="5">
        <v>62.52287629273178</v>
      </c>
      <c r="D11" s="4">
        <v>1.5706768229459045</v>
      </c>
    </row>
    <row r="12" spans="1:4" ht="14.25" customHeight="1" x14ac:dyDescent="0.35">
      <c r="A12" s="1">
        <v>25</v>
      </c>
      <c r="B12" s="4">
        <v>5.8675915694035261</v>
      </c>
      <c r="C12" s="5">
        <v>44.703870048327666</v>
      </c>
      <c r="D12" s="4">
        <v>2.0787762988409098</v>
      </c>
    </row>
    <row r="13" spans="1:4" ht="14.25" customHeight="1" x14ac:dyDescent="0.35">
      <c r="A13" s="1">
        <v>26</v>
      </c>
      <c r="B13" s="4">
        <v>7.0069103981768466</v>
      </c>
      <c r="C13" s="5">
        <v>0.98561979343579909</v>
      </c>
      <c r="D13" s="4">
        <v>1.1421365354113049</v>
      </c>
    </row>
    <row r="14" spans="1:4" ht="14.25" customHeight="1" x14ac:dyDescent="0.35">
      <c r="A14" s="1">
        <v>31</v>
      </c>
      <c r="B14" s="4">
        <v>0.92553085588797601</v>
      </c>
      <c r="C14" s="5">
        <v>75.388159228417621</v>
      </c>
      <c r="D14" s="4">
        <v>0.94773551429482561</v>
      </c>
    </row>
    <row r="15" spans="1:4" ht="14.25" customHeight="1" x14ac:dyDescent="0.35">
      <c r="A15" s="1">
        <v>32</v>
      </c>
      <c r="B15" s="4">
        <v>2.703574087155304</v>
      </c>
      <c r="C15" s="5">
        <v>76.927936219593718</v>
      </c>
      <c r="D15" s="4">
        <v>2.1202749751241354</v>
      </c>
    </row>
    <row r="16" spans="1:4" ht="14.25" customHeight="1" x14ac:dyDescent="0.35">
      <c r="A16" s="1">
        <v>35</v>
      </c>
      <c r="B16" s="4">
        <v>0.43645018317542084</v>
      </c>
      <c r="C16" s="5">
        <v>78.177645639745492</v>
      </c>
      <c r="D16" s="4">
        <v>2.746872613905055</v>
      </c>
    </row>
    <row r="17" spans="1:4" ht="14.25" customHeight="1" x14ac:dyDescent="0.35">
      <c r="A17" s="1">
        <v>38</v>
      </c>
      <c r="B17" s="4">
        <v>4.99539812661091</v>
      </c>
      <c r="C17" s="5">
        <v>72.285613217040463</v>
      </c>
      <c r="D17" s="4">
        <v>3.1201980237539941</v>
      </c>
    </row>
    <row r="18" spans="1:4" ht="14.25" customHeight="1" x14ac:dyDescent="0.35">
      <c r="A18" s="1">
        <v>39</v>
      </c>
      <c r="B18" s="4">
        <v>9.3614014153288299</v>
      </c>
      <c r="C18" s="5">
        <v>84.224169758668083</v>
      </c>
      <c r="D18" s="4">
        <v>3.2482024009140531</v>
      </c>
    </row>
    <row r="19" spans="1:4" ht="14.25" customHeight="1" x14ac:dyDescent="0.35">
      <c r="A19" s="1">
        <v>41</v>
      </c>
      <c r="B19" s="4">
        <v>4.3288470126141601</v>
      </c>
      <c r="C19" s="5">
        <v>6.5469544163868303</v>
      </c>
      <c r="D19" s="4">
        <v>1.2478731961730476</v>
      </c>
    </row>
    <row r="20" spans="1:4" ht="14.25" customHeight="1" x14ac:dyDescent="0.35">
      <c r="A20" s="1">
        <v>43</v>
      </c>
      <c r="B20" s="4">
        <v>3.4400274060550249</v>
      </c>
      <c r="C20" s="5">
        <v>88.544864640030255</v>
      </c>
      <c r="D20" s="4">
        <v>2.2861074462835766</v>
      </c>
    </row>
    <row r="21" spans="1:4" ht="14.25" customHeight="1" x14ac:dyDescent="0.35">
      <c r="A21" s="1">
        <v>47</v>
      </c>
      <c r="B21" s="4">
        <v>2.491868862856804</v>
      </c>
      <c r="C21" s="5">
        <v>83.543252086202173</v>
      </c>
      <c r="D21" s="4">
        <v>1.8616229357881728</v>
      </c>
    </row>
    <row r="22" spans="1:4" ht="14.25" customHeight="1" x14ac:dyDescent="0.35">
      <c r="A22" s="1">
        <v>48</v>
      </c>
      <c r="B22" s="4">
        <v>6.6302417029515031</v>
      </c>
      <c r="C22" s="5">
        <v>88.077018536128762</v>
      </c>
      <c r="D22" s="4">
        <v>2.9657601138693863</v>
      </c>
    </row>
    <row r="23" spans="1:4" ht="14.25" customHeight="1" x14ac:dyDescent="0.35">
      <c r="A23" s="1">
        <v>55</v>
      </c>
      <c r="B23" s="4">
        <v>2.0467901820589676</v>
      </c>
      <c r="C23" s="5">
        <v>94.353427088022542</v>
      </c>
      <c r="D23" s="4">
        <v>3.2203596435638047</v>
      </c>
    </row>
    <row r="24" spans="1:4" ht="14.25" customHeight="1" x14ac:dyDescent="0.35">
      <c r="A24" s="1">
        <v>58</v>
      </c>
      <c r="B24" s="4">
        <v>4.8808439805120312</v>
      </c>
      <c r="C24" s="5">
        <v>33.17980835960617</v>
      </c>
      <c r="D24" s="4">
        <v>2.6441564439720251</v>
      </c>
    </row>
    <row r="25" spans="1:4" ht="14.25" customHeight="1" x14ac:dyDescent="0.35">
      <c r="A25" s="1">
        <v>61</v>
      </c>
      <c r="B25" s="4">
        <v>7.7609436941717203</v>
      </c>
      <c r="C25" s="5">
        <v>60.715820600474316</v>
      </c>
      <c r="D25" s="4">
        <v>2.8205863196360492</v>
      </c>
    </row>
    <row r="26" spans="1:4" ht="14.25" customHeight="1" x14ac:dyDescent="0.35">
      <c r="A26" s="1">
        <v>63</v>
      </c>
      <c r="B26" s="4">
        <v>2.8777593324401196</v>
      </c>
      <c r="C26" s="5">
        <v>65.874635217010578</v>
      </c>
      <c r="D26" s="4">
        <v>2.2042283562723299</v>
      </c>
    </row>
    <row r="27" spans="1:4" ht="14.25" customHeight="1" x14ac:dyDescent="0.35">
      <c r="A27" s="1">
        <v>64</v>
      </c>
      <c r="B27" s="4">
        <v>3.0412679026231624</v>
      </c>
      <c r="C27" s="5">
        <v>61.328839361780872</v>
      </c>
      <c r="D27" s="4">
        <v>1.9703106371475858</v>
      </c>
    </row>
    <row r="28" spans="1:4" ht="14.25" customHeight="1" x14ac:dyDescent="0.35">
      <c r="A28" s="1">
        <v>75</v>
      </c>
      <c r="B28" s="4">
        <v>2.9621946476247829</v>
      </c>
      <c r="C28" s="5">
        <v>27.869016038483817</v>
      </c>
      <c r="D28" s="4">
        <v>2.0328118140297322</v>
      </c>
    </row>
    <row r="29" spans="1:4" ht="14.25" customHeight="1" x14ac:dyDescent="0.35">
      <c r="A29" s="1">
        <v>81</v>
      </c>
      <c r="B29" s="4">
        <v>0.88385762405837398</v>
      </c>
      <c r="C29" s="5">
        <v>88.763941650609382</v>
      </c>
      <c r="D29" s="4">
        <v>2.50822000609997</v>
      </c>
    </row>
    <row r="30" spans="1:4" ht="14.25" customHeight="1" x14ac:dyDescent="0.35">
      <c r="A30" s="1">
        <v>82</v>
      </c>
      <c r="B30" s="4">
        <v>0.73039598797183691</v>
      </c>
      <c r="C30" s="5">
        <v>21.885409442092516</v>
      </c>
      <c r="D30" s="4">
        <v>0.64616091802461817</v>
      </c>
    </row>
    <row r="31" spans="1:4" ht="14.25" customHeight="1" x14ac:dyDescent="0.35">
      <c r="A31" s="1">
        <v>85</v>
      </c>
      <c r="B31" s="4">
        <v>1.5306598931066917</v>
      </c>
      <c r="C31" s="5">
        <v>91.402840219275134</v>
      </c>
      <c r="D31" s="4">
        <v>1.0088374140522212</v>
      </c>
    </row>
    <row r="32" spans="1:4" ht="14.25" customHeight="1" x14ac:dyDescent="0.35">
      <c r="A32" s="1">
        <v>86</v>
      </c>
      <c r="B32" s="4">
        <v>0.91356623421294469</v>
      </c>
      <c r="C32" s="5">
        <v>1.6885604048754499</v>
      </c>
      <c r="D32" s="4">
        <v>1.7464155704895665</v>
      </c>
    </row>
    <row r="33" spans="1:4" ht="14.25" customHeight="1" x14ac:dyDescent="0.35">
      <c r="A33" s="1">
        <v>87</v>
      </c>
      <c r="B33" s="4">
        <v>7.578015698568354</v>
      </c>
      <c r="C33" s="5">
        <v>21.101649311136384</v>
      </c>
      <c r="D33" s="4">
        <v>3.0772921554933967</v>
      </c>
    </row>
    <row r="34" spans="1:4" ht="14.25" customHeight="1" x14ac:dyDescent="0.35">
      <c r="A34" s="1">
        <v>88</v>
      </c>
      <c r="B34" s="4">
        <v>1.4930828690322018</v>
      </c>
      <c r="C34" s="5">
        <v>17.674599995288499</v>
      </c>
      <c r="D34" s="4">
        <v>1.1766178104424458</v>
      </c>
    </row>
    <row r="35" spans="1:4" ht="14.25" customHeight="1" x14ac:dyDescent="0.35">
      <c r="A35" s="1">
        <v>89</v>
      </c>
      <c r="B35" s="4">
        <v>6.561145918502306</v>
      </c>
      <c r="C35" s="5">
        <v>35.119819662847085</v>
      </c>
      <c r="D35" s="4">
        <v>2.793917232003754</v>
      </c>
    </row>
    <row r="36" spans="1:4" ht="14.25" customHeight="1" x14ac:dyDescent="0.35">
      <c r="A36" s="1">
        <v>91</v>
      </c>
      <c r="B36" s="4">
        <v>0.33735976863779937</v>
      </c>
      <c r="C36" s="5">
        <v>47.435302492539634</v>
      </c>
      <c r="D36" s="4">
        <v>1.403178780418642</v>
      </c>
    </row>
    <row r="37" spans="1:4" ht="14.25" customHeight="1" x14ac:dyDescent="0.35">
      <c r="A37" s="1">
        <v>92</v>
      </c>
      <c r="B37" s="4">
        <v>0.75595603376617082</v>
      </c>
      <c r="C37" s="5">
        <v>38.336260342986961</v>
      </c>
      <c r="D37" s="4">
        <v>0.52640525996837217</v>
      </c>
    </row>
    <row r="38" spans="1:4" ht="14.25" customHeight="1" x14ac:dyDescent="0.35">
      <c r="A38" s="1">
        <v>96</v>
      </c>
      <c r="B38" s="4">
        <v>1.393934377638294</v>
      </c>
      <c r="C38" s="5">
        <v>91.148653343778307</v>
      </c>
      <c r="D38" s="4">
        <v>0.57986306579295555</v>
      </c>
    </row>
    <row r="39" spans="1:4" ht="14.25" customHeight="1" x14ac:dyDescent="0.35">
      <c r="A39" s="1">
        <v>98</v>
      </c>
      <c r="B39" s="4">
        <v>5.6878046898335022</v>
      </c>
      <c r="C39" s="5">
        <v>56.415873882006686</v>
      </c>
      <c r="D39" s="4">
        <v>2.9911102390913347</v>
      </c>
    </row>
    <row r="40" spans="1:4" ht="14.25" customHeight="1" x14ac:dyDescent="0.35">
      <c r="A40" s="1">
        <v>100</v>
      </c>
      <c r="B40" s="4">
        <v>7.424306049298778</v>
      </c>
      <c r="C40" s="5">
        <v>98.139133851431353</v>
      </c>
      <c r="D40" s="4">
        <v>2.9735302238219714</v>
      </c>
    </row>
    <row r="41" spans="1:4" ht="14.25" customHeight="1" x14ac:dyDescent="0.35">
      <c r="A41" s="1">
        <v>101</v>
      </c>
      <c r="B41" s="4">
        <v>0.80745494115184835</v>
      </c>
      <c r="C41" s="5">
        <v>44.206565132471155</v>
      </c>
      <c r="D41" s="4">
        <v>2.7161877353743753</v>
      </c>
    </row>
    <row r="42" spans="1:4" ht="14.25" customHeight="1" x14ac:dyDescent="0.35">
      <c r="A42" s="1">
        <v>106</v>
      </c>
      <c r="B42" s="4">
        <v>1.7749600690362932</v>
      </c>
      <c r="C42" s="5">
        <v>28.688825017315832</v>
      </c>
      <c r="D42" s="4">
        <v>1.2547521838619498</v>
      </c>
    </row>
    <row r="43" spans="1:4" ht="14.25" customHeight="1" x14ac:dyDescent="0.35">
      <c r="A43" s="1">
        <v>109</v>
      </c>
      <c r="B43" s="4">
        <v>2.7549304722085735</v>
      </c>
      <c r="C43" s="5">
        <v>22.014575282015713</v>
      </c>
      <c r="D43" s="4">
        <v>2.1939577068244605</v>
      </c>
    </row>
    <row r="44" spans="1:4" ht="14.25" customHeight="1" x14ac:dyDescent="0.35">
      <c r="A44" s="1">
        <v>110</v>
      </c>
      <c r="B44" s="4">
        <v>3.007300103705405</v>
      </c>
      <c r="C44" s="5">
        <v>86.642946188074916</v>
      </c>
      <c r="D44" s="4">
        <v>2.4565648399195563</v>
      </c>
    </row>
    <row r="45" spans="1:4" ht="14.25" customHeight="1" x14ac:dyDescent="0.35">
      <c r="A45" s="1">
        <v>117</v>
      </c>
      <c r="B45" s="4">
        <v>9.9147964946269234</v>
      </c>
      <c r="C45" s="5">
        <v>3.5120389782008266</v>
      </c>
      <c r="D45" s="4">
        <v>0.93018048137586473</v>
      </c>
    </row>
    <row r="46" spans="1:4" ht="14.25" customHeight="1" x14ac:dyDescent="0.35">
      <c r="A46" s="1">
        <v>120</v>
      </c>
      <c r="B46" s="4">
        <v>7.1096906978640364</v>
      </c>
      <c r="C46" s="5">
        <v>0.76320367925554189</v>
      </c>
      <c r="D46" s="4">
        <v>0.39633753242700703</v>
      </c>
    </row>
    <row r="47" spans="1:4" ht="14.25" customHeight="1" x14ac:dyDescent="0.35">
      <c r="A47" s="1">
        <v>123</v>
      </c>
      <c r="B47" s="4">
        <v>9.1341854108012654</v>
      </c>
      <c r="C47" s="5">
        <v>8.9319799912231481</v>
      </c>
      <c r="D47" s="4">
        <v>3.180099477834184</v>
      </c>
    </row>
    <row r="48" spans="1:4" ht="14.25" customHeight="1" x14ac:dyDescent="0.35">
      <c r="A48" s="1">
        <v>125</v>
      </c>
      <c r="B48" s="4">
        <v>2.0777241984874695</v>
      </c>
      <c r="C48" s="5">
        <v>50.845682537540462</v>
      </c>
      <c r="D48" s="4">
        <v>0.89302838226872172</v>
      </c>
    </row>
    <row r="49" spans="1:4" ht="14.25" customHeight="1" x14ac:dyDescent="0.35">
      <c r="A49" s="1">
        <v>127</v>
      </c>
      <c r="B49" s="4">
        <v>0.78425198697655851</v>
      </c>
      <c r="C49" s="5">
        <v>75.155495112271723</v>
      </c>
      <c r="D49" s="4">
        <v>1.1470770771953296</v>
      </c>
    </row>
    <row r="50" spans="1:4" ht="14.25" customHeight="1" x14ac:dyDescent="0.35">
      <c r="A50" s="1">
        <v>128</v>
      </c>
      <c r="B50" s="4">
        <v>3.1105955154469189</v>
      </c>
      <c r="C50" s="5">
        <v>97.376170710780329</v>
      </c>
      <c r="D50" s="4">
        <v>1.4899168860371081</v>
      </c>
    </row>
    <row r="51" spans="1:4" ht="14.25" customHeight="1" x14ac:dyDescent="0.35">
      <c r="A51" s="1">
        <v>130</v>
      </c>
      <c r="B51" s="4">
        <v>2.9822966222881653</v>
      </c>
      <c r="C51" s="5">
        <v>77.672498664792172</v>
      </c>
      <c r="D51" s="4">
        <v>1.7810274119422222</v>
      </c>
    </row>
    <row r="52" spans="1:4" ht="14.25" customHeight="1" x14ac:dyDescent="0.35">
      <c r="A52" s="1">
        <v>131</v>
      </c>
      <c r="B52" s="4">
        <v>2.0023713218743779</v>
      </c>
      <c r="C52" s="5">
        <v>75.08130176375748</v>
      </c>
      <c r="D52" s="4">
        <v>2.198647144770252</v>
      </c>
    </row>
    <row r="53" spans="1:4" ht="14.25" customHeight="1" x14ac:dyDescent="0.35">
      <c r="A53" s="1">
        <v>134</v>
      </c>
      <c r="B53" s="4">
        <v>6.9975812264727395</v>
      </c>
      <c r="C53" s="5">
        <v>3.799987325510723</v>
      </c>
      <c r="D53" s="4">
        <v>2.4756499971209083</v>
      </c>
    </row>
    <row r="54" spans="1:4" ht="14.25" customHeight="1" x14ac:dyDescent="0.35">
      <c r="A54" s="1">
        <v>136</v>
      </c>
      <c r="B54" s="4">
        <v>3.3255229327175782</v>
      </c>
      <c r="C54" s="5">
        <v>2.524880477130953</v>
      </c>
      <c r="D54" s="4">
        <v>1.4373794322396951</v>
      </c>
    </row>
    <row r="55" spans="1:4" ht="14.25" customHeight="1" x14ac:dyDescent="0.35">
      <c r="A55" s="1">
        <v>137</v>
      </c>
      <c r="B55" s="4">
        <v>2.491868862856804</v>
      </c>
      <c r="C55" s="5">
        <v>25.62194565020318</v>
      </c>
      <c r="D55" s="4">
        <v>2.8262214267651853</v>
      </c>
    </row>
    <row r="56" spans="1:4" ht="14.25" customHeight="1" x14ac:dyDescent="0.35">
      <c r="A56" s="1">
        <v>142</v>
      </c>
      <c r="B56" s="4">
        <v>2.4528443145587877</v>
      </c>
      <c r="C56" s="5">
        <v>42.912030107568569</v>
      </c>
      <c r="D56" s="4">
        <v>2.3444717612414445</v>
      </c>
    </row>
    <row r="57" spans="1:4" ht="14.25" customHeight="1" x14ac:dyDescent="0.35">
      <c r="A57" s="1">
        <v>145</v>
      </c>
      <c r="B57" s="4">
        <v>0.98081338394395035</v>
      </c>
      <c r="C57" s="5">
        <v>46.523428941277302</v>
      </c>
      <c r="D57" s="4">
        <v>1.2407981045838459</v>
      </c>
    </row>
    <row r="58" spans="1:4" ht="14.25" customHeight="1" x14ac:dyDescent="0.35">
      <c r="A58" s="1">
        <v>147</v>
      </c>
      <c r="B58" s="4">
        <v>5.1786536735136863</v>
      </c>
      <c r="C58" s="5">
        <v>58.817699123914977</v>
      </c>
      <c r="D58" s="4">
        <v>3.1148294594265806</v>
      </c>
    </row>
    <row r="59" spans="1:4" ht="14.25" customHeight="1" x14ac:dyDescent="0.35">
      <c r="A59" s="1">
        <v>148</v>
      </c>
      <c r="B59" s="4">
        <v>3.8395221550412728</v>
      </c>
      <c r="C59" s="5">
        <v>40.518740678181651</v>
      </c>
      <c r="D59" s="4">
        <v>3.0738627037790183</v>
      </c>
    </row>
    <row r="60" spans="1:4" ht="14.25" customHeight="1" x14ac:dyDescent="0.35">
      <c r="A60" s="1">
        <v>154</v>
      </c>
      <c r="B60" s="4">
        <v>5.5162632285285778</v>
      </c>
      <c r="C60" s="5">
        <v>3.9009762321333241</v>
      </c>
      <c r="D60" s="4">
        <v>0.49669752154335417</v>
      </c>
    </row>
    <row r="61" spans="1:4" ht="14.25" customHeight="1" x14ac:dyDescent="0.35">
      <c r="A61" s="1">
        <v>160</v>
      </c>
      <c r="B61" s="4">
        <v>2.8988993905741078</v>
      </c>
      <c r="C61" s="5">
        <v>28.178925172206469</v>
      </c>
      <c r="D61" s="4">
        <v>2.3472454222929566</v>
      </c>
    </row>
    <row r="62" spans="1:4" ht="14.25" customHeight="1" x14ac:dyDescent="0.35">
      <c r="A62" s="1">
        <v>162</v>
      </c>
      <c r="B62" s="4">
        <v>2.7340007245007492</v>
      </c>
      <c r="C62" s="5">
        <v>6.5138259157154987</v>
      </c>
      <c r="D62" s="4">
        <v>0.55763237642495711</v>
      </c>
    </row>
    <row r="63" spans="1:4" ht="14.25" customHeight="1" x14ac:dyDescent="0.35">
      <c r="A63" s="1">
        <v>164</v>
      </c>
      <c r="B63" s="4">
        <v>5.406941738209686</v>
      </c>
      <c r="C63" s="5">
        <v>37.327147734103704</v>
      </c>
      <c r="D63" s="4">
        <v>3.0724319856938305</v>
      </c>
    </row>
    <row r="64" spans="1:4" ht="14.25" customHeight="1" x14ac:dyDescent="0.35">
      <c r="A64" s="1">
        <v>170</v>
      </c>
      <c r="B64" s="4">
        <v>1.3460155598940049</v>
      </c>
      <c r="C64" s="5">
        <v>1.3651895512938883</v>
      </c>
      <c r="D64" s="4">
        <v>1.2833586602896205</v>
      </c>
    </row>
    <row r="65" spans="1:4" ht="14.25" customHeight="1" x14ac:dyDescent="0.35">
      <c r="A65" s="1">
        <v>171</v>
      </c>
      <c r="B65" s="4">
        <v>9.703695819620302</v>
      </c>
      <c r="C65" s="5">
        <v>22.860333833081558</v>
      </c>
      <c r="D65" s="4">
        <v>2.8510286984942832</v>
      </c>
    </row>
    <row r="66" spans="1:4" ht="14.25" customHeight="1" x14ac:dyDescent="0.35">
      <c r="A66" s="1">
        <v>173</v>
      </c>
      <c r="B66" s="4">
        <v>4.7034226772276986</v>
      </c>
      <c r="C66" s="5">
        <v>25.74964019746432</v>
      </c>
      <c r="D66" s="4">
        <v>2.3417785265083708</v>
      </c>
    </row>
    <row r="67" spans="1:4" ht="14.25" customHeight="1" x14ac:dyDescent="0.35">
      <c r="A67" s="1">
        <v>175</v>
      </c>
      <c r="B67" s="4">
        <v>6.0934208127887102</v>
      </c>
      <c r="C67" s="5">
        <v>5.1068824849209165</v>
      </c>
      <c r="D67" s="4">
        <v>1.2705269871456333</v>
      </c>
    </row>
    <row r="68" spans="1:4" ht="14.25" customHeight="1" x14ac:dyDescent="0.35">
      <c r="A68" s="1">
        <v>176</v>
      </c>
      <c r="B68" s="4">
        <v>1.9957645744781394</v>
      </c>
      <c r="C68" s="5">
        <v>61.731184328294916</v>
      </c>
      <c r="D68" s="4">
        <v>2.1708540098049571</v>
      </c>
    </row>
    <row r="69" spans="1:4" ht="14.25" customHeight="1" x14ac:dyDescent="0.35">
      <c r="A69" s="1">
        <v>179</v>
      </c>
      <c r="B69" s="4">
        <v>2.7593413874763382</v>
      </c>
      <c r="C69" s="5">
        <v>37.717847015864102</v>
      </c>
      <c r="D69" s="4">
        <v>1.165261337888724</v>
      </c>
    </row>
    <row r="70" spans="1:4" ht="14.25" customHeight="1" x14ac:dyDescent="0.35">
      <c r="A70" s="1">
        <v>185</v>
      </c>
      <c r="B70" s="4">
        <v>6.2493587123033674</v>
      </c>
      <c r="C70" s="5">
        <v>0.83710041948734659</v>
      </c>
      <c r="D70" s="4">
        <v>1.6639185068781452</v>
      </c>
    </row>
    <row r="71" spans="1:4" ht="14.25" customHeight="1" x14ac:dyDescent="0.35">
      <c r="A71" s="1">
        <v>187</v>
      </c>
      <c r="B71" s="4">
        <v>8.1962620505895138</v>
      </c>
      <c r="C71" s="5">
        <v>5.8336115764625163</v>
      </c>
      <c r="D71" s="4">
        <v>3.0270735070860235</v>
      </c>
    </row>
    <row r="72" spans="1:4" ht="14.25" customHeight="1" x14ac:dyDescent="0.35">
      <c r="A72" s="1">
        <v>189</v>
      </c>
      <c r="B72" s="4">
        <v>2.7549304722085735</v>
      </c>
      <c r="C72" s="5">
        <v>3.3564263002695105</v>
      </c>
      <c r="D72" s="4">
        <v>2.5770529539922049</v>
      </c>
    </row>
    <row r="73" spans="1:4" ht="14.25" customHeight="1" x14ac:dyDescent="0.35">
      <c r="A73" s="1">
        <v>194</v>
      </c>
      <c r="B73" s="4">
        <v>9.7206056137448158</v>
      </c>
      <c r="C73" s="5">
        <v>59.260247475827363</v>
      </c>
      <c r="D73" s="4">
        <v>2.9136552685560955</v>
      </c>
    </row>
    <row r="74" spans="1:4" ht="14.25" customHeight="1" x14ac:dyDescent="0.35">
      <c r="A74" s="1">
        <v>203</v>
      </c>
      <c r="B74" s="4">
        <v>2.7139433467080956</v>
      </c>
      <c r="C74" s="5">
        <v>75.231806135163538</v>
      </c>
      <c r="D74" s="4">
        <v>0.86074928419523</v>
      </c>
    </row>
    <row r="75" spans="1:4" ht="14.25" customHeight="1" x14ac:dyDescent="0.35">
      <c r="A75" s="1">
        <v>207</v>
      </c>
      <c r="B75" s="4">
        <v>0.53226354816753751</v>
      </c>
      <c r="C75" s="5">
        <v>36.389595342580009</v>
      </c>
      <c r="D75" s="4">
        <v>0.55340951299649488</v>
      </c>
    </row>
    <row r="76" spans="1:4" ht="14.25" customHeight="1" x14ac:dyDescent="0.35">
      <c r="A76" s="1">
        <v>210</v>
      </c>
      <c r="B76" s="4">
        <v>7.9621559060366964</v>
      </c>
      <c r="C76" s="5">
        <v>15.762504913395659</v>
      </c>
      <c r="D76" s="4">
        <v>2.787926388417501</v>
      </c>
    </row>
    <row r="77" spans="1:4" ht="14.25" customHeight="1" x14ac:dyDescent="0.35">
      <c r="A77" s="1">
        <v>211</v>
      </c>
      <c r="B77" s="4">
        <v>0.81867101102743978</v>
      </c>
      <c r="C77" s="5">
        <v>5.887416434062831</v>
      </c>
      <c r="D77" s="4">
        <v>0.46608038839524435</v>
      </c>
    </row>
    <row r="78" spans="1:4" ht="14.25" customHeight="1" x14ac:dyDescent="0.35">
      <c r="A78" s="1">
        <v>217</v>
      </c>
      <c r="B78" s="4">
        <v>3.4400274060550249</v>
      </c>
      <c r="C78" s="5">
        <v>13.071885606202628</v>
      </c>
      <c r="D78" s="4">
        <v>2.6731938158554676</v>
      </c>
    </row>
    <row r="79" spans="1:4" ht="14.25" customHeight="1" x14ac:dyDescent="0.35">
      <c r="A79" s="1">
        <v>219</v>
      </c>
      <c r="B79" s="4">
        <v>3.2301307779373345</v>
      </c>
      <c r="C79" s="5">
        <v>64.124598766676854</v>
      </c>
      <c r="D79" s="4">
        <v>2.9072393647281762</v>
      </c>
    </row>
    <row r="80" spans="1:4" ht="14.25" customHeight="1" x14ac:dyDescent="0.35">
      <c r="A80" s="1">
        <v>220</v>
      </c>
      <c r="B80" s="4">
        <v>2.2304074359527681</v>
      </c>
      <c r="C80" s="5">
        <v>84.152262926483161</v>
      </c>
      <c r="D80" s="4">
        <v>0.60695155850954063</v>
      </c>
    </row>
    <row r="81" spans="1:4" ht="14.25" customHeight="1" x14ac:dyDescent="0.35">
      <c r="A81" s="1">
        <v>221</v>
      </c>
      <c r="B81" s="4">
        <v>2.491868862856804</v>
      </c>
      <c r="C81" s="5">
        <v>16.146752125945817</v>
      </c>
      <c r="D81" s="4">
        <v>0.9871001480698447</v>
      </c>
    </row>
    <row r="82" spans="1:4" ht="14.25" customHeight="1" x14ac:dyDescent="0.35">
      <c r="A82" s="1">
        <v>225</v>
      </c>
      <c r="B82" s="4">
        <v>2.5037188976248204</v>
      </c>
      <c r="C82" s="5">
        <v>14.121779923858002</v>
      </c>
      <c r="D82" s="4">
        <v>2.0271704318826287</v>
      </c>
    </row>
    <row r="83" spans="1:4" ht="14.25" customHeight="1" x14ac:dyDescent="0.35">
      <c r="A83" s="1">
        <v>227</v>
      </c>
      <c r="B83" s="4">
        <v>2.3515062762857806</v>
      </c>
      <c r="C83" s="5">
        <v>44.381497892951174</v>
      </c>
      <c r="D83" s="4">
        <v>2.2611487206866423</v>
      </c>
    </row>
    <row r="84" spans="1:4" ht="14.25" customHeight="1" x14ac:dyDescent="0.35">
      <c r="A84" s="1">
        <v>228</v>
      </c>
      <c r="B84" s="4">
        <v>1.6179579069834471</v>
      </c>
      <c r="C84" s="5">
        <v>77.846081258095083</v>
      </c>
      <c r="D84" s="4">
        <v>1.5757920840740667</v>
      </c>
    </row>
    <row r="85" spans="1:4" ht="14.25" customHeight="1" x14ac:dyDescent="0.35">
      <c r="A85" s="1">
        <v>229</v>
      </c>
      <c r="B85" s="4">
        <v>1.9197897374801554</v>
      </c>
      <c r="C85" s="5">
        <v>18.110023918022566</v>
      </c>
      <c r="D85" s="4">
        <v>0.93783842852660837</v>
      </c>
    </row>
    <row r="86" spans="1:4" ht="14.25" customHeight="1" x14ac:dyDescent="0.35">
      <c r="A86" s="1">
        <v>230</v>
      </c>
      <c r="B86" s="4">
        <v>2.6857950774990522</v>
      </c>
      <c r="C86" s="5">
        <v>8.7692103692377561</v>
      </c>
      <c r="D86" s="4">
        <v>0.79687076778770605</v>
      </c>
    </row>
    <row r="87" spans="1:4" ht="14.25" customHeight="1" x14ac:dyDescent="0.35">
      <c r="A87" s="1">
        <v>237</v>
      </c>
      <c r="B87" s="4">
        <v>3.1091345564660191</v>
      </c>
      <c r="C87" s="5">
        <v>93.062008689975769</v>
      </c>
      <c r="D87" s="4">
        <v>2.1828649762581733</v>
      </c>
    </row>
    <row r="88" spans="1:4" ht="14.25" customHeight="1" x14ac:dyDescent="0.35">
      <c r="A88" s="1">
        <v>238</v>
      </c>
      <c r="B88" s="4">
        <v>2.8667342608148338</v>
      </c>
      <c r="C88" s="5">
        <v>48.28985237351192</v>
      </c>
      <c r="D88" s="4">
        <v>2.8999449069990835</v>
      </c>
    </row>
    <row r="89" spans="1:4" ht="14.25" customHeight="1" x14ac:dyDescent="0.35">
      <c r="A89" s="1">
        <v>241</v>
      </c>
      <c r="B89" s="4">
        <v>3.1448978560422081</v>
      </c>
      <c r="C89" s="5">
        <v>31.506527351296821</v>
      </c>
      <c r="D89" s="4">
        <v>3.2495302594645055</v>
      </c>
    </row>
    <row r="90" spans="1:4" ht="14.25" customHeight="1" x14ac:dyDescent="0.35">
      <c r="A90" s="1">
        <v>242</v>
      </c>
      <c r="B90" s="4">
        <v>5.4238176620396752</v>
      </c>
      <c r="C90" s="5">
        <v>18.315613271358334</v>
      </c>
      <c r="D90" s="4">
        <v>2.9440702566979753</v>
      </c>
    </row>
    <row r="91" spans="1:4" ht="14.25" customHeight="1" x14ac:dyDescent="0.35">
      <c r="A91" s="1">
        <v>244</v>
      </c>
      <c r="B91" s="4">
        <v>7.5436734072691518</v>
      </c>
      <c r="C91" s="5">
        <v>8.1608320174484721</v>
      </c>
      <c r="D91" s="4">
        <v>2.479744844114252</v>
      </c>
    </row>
    <row r="92" spans="1:4" ht="14.25" customHeight="1" x14ac:dyDescent="0.35">
      <c r="A92" s="1">
        <v>245</v>
      </c>
      <c r="B92" s="4">
        <v>2.7442337372913581</v>
      </c>
      <c r="C92" s="5">
        <v>38.775855511551626</v>
      </c>
      <c r="D92" s="4">
        <v>1.7461423990574174</v>
      </c>
    </row>
    <row r="93" spans="1:4" ht="14.25" customHeight="1" x14ac:dyDescent="0.35">
      <c r="A93" s="1">
        <v>249</v>
      </c>
      <c r="B93" s="4">
        <v>4.4567244466016103</v>
      </c>
      <c r="C93" s="5">
        <v>94.180393988887261</v>
      </c>
      <c r="D93" s="4">
        <v>2.478087688652729</v>
      </c>
    </row>
    <row r="94" spans="1:4" ht="14.25" customHeight="1" x14ac:dyDescent="0.35">
      <c r="A94" s="1">
        <v>252</v>
      </c>
      <c r="B94" s="4">
        <v>2.3721224458470425</v>
      </c>
      <c r="C94" s="5">
        <v>65.229103657277548</v>
      </c>
      <c r="D94" s="4">
        <v>0.93048975915511445</v>
      </c>
    </row>
    <row r="95" spans="1:4" ht="14.25" customHeight="1" x14ac:dyDescent="0.35">
      <c r="A95" s="1">
        <v>253</v>
      </c>
      <c r="B95" s="4">
        <v>4.7482068305568248</v>
      </c>
      <c r="C95" s="5">
        <v>38.27867830252584</v>
      </c>
      <c r="D95" s="4">
        <v>3.1426435446117109</v>
      </c>
    </row>
    <row r="96" spans="1:4" ht="14.25" customHeight="1" x14ac:dyDescent="0.35">
      <c r="A96" s="1">
        <v>254</v>
      </c>
      <c r="B96" s="4">
        <v>4.7870116473770574</v>
      </c>
      <c r="C96" s="5">
        <v>40.881581255590341</v>
      </c>
      <c r="D96" s="4">
        <v>2.8350774468270128</v>
      </c>
    </row>
    <row r="97" spans="1:4" ht="14.25" customHeight="1" x14ac:dyDescent="0.35">
      <c r="A97" s="1">
        <v>256</v>
      </c>
      <c r="B97" s="4">
        <v>2.7177912891118061</v>
      </c>
      <c r="C97" s="5">
        <v>43.42854429691252</v>
      </c>
      <c r="D97" s="4">
        <v>0.64014706509639674</v>
      </c>
    </row>
    <row r="98" spans="1:4" ht="14.25" customHeight="1" x14ac:dyDescent="0.35">
      <c r="A98" s="1">
        <v>257</v>
      </c>
      <c r="B98" s="4">
        <v>3.6199716072181056</v>
      </c>
      <c r="C98" s="5">
        <v>67.560878456891089</v>
      </c>
      <c r="D98" s="4">
        <v>2.3726925345005347</v>
      </c>
    </row>
    <row r="99" spans="1:4" ht="14.25" customHeight="1" x14ac:dyDescent="0.35">
      <c r="A99" s="1">
        <v>258</v>
      </c>
      <c r="B99" s="4">
        <v>0.90698840741772369</v>
      </c>
      <c r="C99" s="5">
        <v>91.398755111301185</v>
      </c>
      <c r="D99" s="4">
        <v>0.67602594067115451</v>
      </c>
    </row>
    <row r="100" spans="1:4" ht="14.25" customHeight="1" x14ac:dyDescent="0.35">
      <c r="A100" s="1">
        <v>259</v>
      </c>
      <c r="B100" s="4">
        <v>5.4742963618038454</v>
      </c>
      <c r="C100" s="5">
        <v>1.4455122607918591</v>
      </c>
      <c r="D100" s="4">
        <v>0.5722002502080541</v>
      </c>
    </row>
    <row r="101" spans="1:4" ht="14.25" customHeight="1" x14ac:dyDescent="0.35">
      <c r="A101" s="1">
        <v>261</v>
      </c>
      <c r="B101" s="4">
        <v>0.80776163024559366</v>
      </c>
      <c r="C101" s="5">
        <v>92.17702313595197</v>
      </c>
      <c r="D101" s="4">
        <v>1.4567744320644436</v>
      </c>
    </row>
    <row r="102" spans="1:4" ht="14.25" customHeight="1" x14ac:dyDescent="0.35">
      <c r="A102" s="1">
        <v>262</v>
      </c>
      <c r="B102" s="4">
        <v>9.6269990660610851</v>
      </c>
      <c r="C102" s="5">
        <v>21.585203079098626</v>
      </c>
      <c r="D102" s="4">
        <v>3.2157035876028734</v>
      </c>
    </row>
    <row r="103" spans="1:4" ht="14.25" customHeight="1" x14ac:dyDescent="0.35">
      <c r="A103" s="1">
        <v>263</v>
      </c>
      <c r="B103" s="4">
        <v>2.752843212110303</v>
      </c>
      <c r="C103" s="5">
        <v>53.87698911205505</v>
      </c>
      <c r="D103" s="4">
        <v>1.314036532834796</v>
      </c>
    </row>
    <row r="104" spans="1:4" ht="14.25" customHeight="1" x14ac:dyDescent="0.35">
      <c r="A104" s="1">
        <v>266</v>
      </c>
      <c r="B104" s="4">
        <v>8.7261062006002135</v>
      </c>
      <c r="C104" s="5">
        <v>2.6849874073990421</v>
      </c>
      <c r="D104" s="4">
        <v>0.75084445986157222</v>
      </c>
    </row>
    <row r="105" spans="1:4" ht="14.25" customHeight="1" x14ac:dyDescent="0.35">
      <c r="A105" s="1">
        <v>270</v>
      </c>
      <c r="B105" s="4">
        <v>2.6440297825127281</v>
      </c>
      <c r="C105" s="5">
        <v>89.003019126070697</v>
      </c>
      <c r="D105" s="4">
        <v>2.5154628142861974</v>
      </c>
    </row>
    <row r="106" spans="1:4" ht="14.25" customHeight="1" x14ac:dyDescent="0.35">
      <c r="A106" s="1">
        <v>273</v>
      </c>
      <c r="B106" s="4">
        <v>3.2528975429176779</v>
      </c>
      <c r="C106" s="5">
        <v>84.693555328778388</v>
      </c>
      <c r="D106" s="4">
        <v>1.599686353055632</v>
      </c>
    </row>
    <row r="107" spans="1:4" ht="14.25" customHeight="1" x14ac:dyDescent="0.35">
      <c r="A107" s="1">
        <v>275</v>
      </c>
      <c r="B107" s="4">
        <v>1.1922314998958539</v>
      </c>
      <c r="C107" s="5">
        <v>42.638964580565528</v>
      </c>
      <c r="D107" s="4">
        <v>1.0719389308534297</v>
      </c>
    </row>
    <row r="108" spans="1:4" ht="14.25" customHeight="1" x14ac:dyDescent="0.35">
      <c r="A108" s="1">
        <v>276</v>
      </c>
      <c r="B108" s="4">
        <v>1.2193151269162017</v>
      </c>
      <c r="C108" s="5">
        <v>83.575479608765036</v>
      </c>
      <c r="D108" s="4">
        <v>1.9661647388510972</v>
      </c>
    </row>
    <row r="109" spans="1:4" ht="14.25" customHeight="1" x14ac:dyDescent="0.35">
      <c r="A109" s="1">
        <v>279</v>
      </c>
      <c r="B109" s="4">
        <v>3.0704284029135276</v>
      </c>
      <c r="C109" s="5">
        <v>53.771960856377831</v>
      </c>
      <c r="D109" s="4">
        <v>1.3058211502928894</v>
      </c>
    </row>
    <row r="110" spans="1:4" ht="14.25" customHeight="1" x14ac:dyDescent="0.35">
      <c r="A110" s="1">
        <v>283</v>
      </c>
      <c r="B110" s="4">
        <v>3.8448475510169153</v>
      </c>
      <c r="C110" s="5">
        <v>54.919506925554998</v>
      </c>
      <c r="D110" s="4">
        <v>2.9561943070105556</v>
      </c>
    </row>
    <row r="111" spans="1:4" ht="14.25" customHeight="1" x14ac:dyDescent="0.35">
      <c r="A111" s="1">
        <v>284</v>
      </c>
      <c r="B111" s="4">
        <v>2.1396947851162542</v>
      </c>
      <c r="C111" s="5">
        <v>67.170079721408385</v>
      </c>
      <c r="D111" s="4">
        <v>2.2969611523572326</v>
      </c>
    </row>
    <row r="112" spans="1:4" ht="14.25" customHeight="1" x14ac:dyDescent="0.35">
      <c r="A112" s="1">
        <v>287</v>
      </c>
      <c r="B112" s="4">
        <v>3.6535349616576598</v>
      </c>
      <c r="C112" s="5">
        <v>34.621778427304996</v>
      </c>
      <c r="D112" s="4">
        <v>2.5292631646589934</v>
      </c>
    </row>
    <row r="113" spans="1:4" ht="14.25" customHeight="1" x14ac:dyDescent="0.35">
      <c r="A113" s="1">
        <v>290</v>
      </c>
      <c r="B113" s="4">
        <v>8.8008720509214928</v>
      </c>
      <c r="C113" s="5">
        <v>61.083392301559527</v>
      </c>
      <c r="D113" s="4">
        <v>3.0835691649408377</v>
      </c>
    </row>
    <row r="114" spans="1:4" ht="14.25" customHeight="1" x14ac:dyDescent="0.35">
      <c r="A114" s="1">
        <v>294</v>
      </c>
      <c r="B114" s="4">
        <v>0.73039598797183691</v>
      </c>
      <c r="C114" s="5">
        <v>24.155105485004302</v>
      </c>
      <c r="D114" s="4">
        <v>0.83657005750647651</v>
      </c>
    </row>
    <row r="115" spans="1:4" ht="14.25" customHeight="1" x14ac:dyDescent="0.35">
      <c r="A115" s="1">
        <v>299</v>
      </c>
      <c r="B115" s="4">
        <v>4.99539812661091</v>
      </c>
      <c r="C115" s="5">
        <v>57.372636435802491</v>
      </c>
      <c r="D115" s="4">
        <v>3.0186446048768207</v>
      </c>
    </row>
    <row r="116" spans="1:4" ht="14.25" customHeight="1" x14ac:dyDescent="0.35">
      <c r="A116" s="1">
        <v>301</v>
      </c>
      <c r="B116" s="4">
        <v>2.4905992248793387</v>
      </c>
      <c r="C116" s="5">
        <v>49.629883193599987</v>
      </c>
      <c r="D116" s="4">
        <v>0.58068498677882707</v>
      </c>
    </row>
    <row r="117" spans="1:4" ht="14.25" customHeight="1" x14ac:dyDescent="0.35">
      <c r="A117" s="1">
        <v>305</v>
      </c>
      <c r="B117" s="4">
        <v>0.80548397244653347</v>
      </c>
      <c r="C117" s="5">
        <v>96.175139060883183</v>
      </c>
      <c r="D117" s="4">
        <v>0.51230620832834872</v>
      </c>
    </row>
    <row r="118" spans="1:4" ht="14.25" customHeight="1" x14ac:dyDescent="0.35">
      <c r="A118" s="1">
        <v>311</v>
      </c>
      <c r="B118" s="4">
        <v>0.94644883652760803</v>
      </c>
      <c r="C118" s="5">
        <v>53.74667689256669</v>
      </c>
      <c r="D118" s="4">
        <v>0.70758033550660149</v>
      </c>
    </row>
    <row r="119" spans="1:4" ht="14.25" customHeight="1" x14ac:dyDescent="0.35">
      <c r="A119" s="1">
        <v>316</v>
      </c>
      <c r="B119" s="4">
        <v>2.011601739968516</v>
      </c>
      <c r="C119" s="5">
        <v>93.756399584674966</v>
      </c>
      <c r="D119" s="4">
        <v>2.7048470919491958</v>
      </c>
    </row>
    <row r="120" spans="1:4" ht="14.25" customHeight="1" x14ac:dyDescent="0.35">
      <c r="A120" s="1">
        <v>317</v>
      </c>
      <c r="B120" s="4">
        <v>2.375879976802727</v>
      </c>
      <c r="C120" s="5">
        <v>85.288951892263583</v>
      </c>
      <c r="D120" s="4">
        <v>0.42659838856682947</v>
      </c>
    </row>
    <row r="121" spans="1:4" ht="14.25" customHeight="1" x14ac:dyDescent="0.35">
      <c r="A121" s="1">
        <v>318</v>
      </c>
      <c r="B121" s="4">
        <v>3.3418678268241009</v>
      </c>
      <c r="C121" s="5">
        <v>38.06870759926759</v>
      </c>
      <c r="D121" s="4">
        <v>2.4494361745649509</v>
      </c>
    </row>
    <row r="122" spans="1:4" ht="14.25" customHeight="1" x14ac:dyDescent="0.35">
      <c r="A122" s="1">
        <v>320</v>
      </c>
      <c r="B122" s="4">
        <v>2.830000131724538</v>
      </c>
      <c r="C122" s="5">
        <v>91.605800730371527</v>
      </c>
      <c r="D122" s="4">
        <v>1.1594194856160032</v>
      </c>
    </row>
    <row r="123" spans="1:4" ht="14.25" customHeight="1" x14ac:dyDescent="0.35">
      <c r="A123" s="1">
        <v>321</v>
      </c>
      <c r="B123" s="4">
        <v>4.4899206563214591</v>
      </c>
      <c r="C123" s="5">
        <v>3.5935791005926143</v>
      </c>
      <c r="D123" s="4">
        <v>1.7482527587274992</v>
      </c>
    </row>
    <row r="124" spans="1:4" ht="14.25" customHeight="1" x14ac:dyDescent="0.35">
      <c r="A124" s="1">
        <v>328</v>
      </c>
      <c r="B124" s="4">
        <v>9.6967657857914666</v>
      </c>
      <c r="C124" s="5">
        <v>64.717641157399143</v>
      </c>
      <c r="D124" s="4">
        <v>3.2170001967519184</v>
      </c>
    </row>
    <row r="125" spans="1:4" ht="14.25" customHeight="1" x14ac:dyDescent="0.35">
      <c r="A125" s="1">
        <v>330</v>
      </c>
      <c r="B125" s="4">
        <v>3.0274886309987448</v>
      </c>
      <c r="C125" s="5">
        <v>36.810837627439419</v>
      </c>
      <c r="D125" s="4">
        <v>2.1375066398789611</v>
      </c>
    </row>
    <row r="126" spans="1:4" ht="14.25" customHeight="1" x14ac:dyDescent="0.35">
      <c r="A126" s="1">
        <v>336</v>
      </c>
      <c r="B126" s="4">
        <v>7.6596669062089831</v>
      </c>
      <c r="C126" s="5">
        <v>3.9160762139717531</v>
      </c>
      <c r="D126" s="4">
        <v>0.63979386474012179</v>
      </c>
    </row>
    <row r="127" spans="1:4" ht="14.25" customHeight="1" x14ac:dyDescent="0.35">
      <c r="A127" s="1">
        <v>337</v>
      </c>
      <c r="B127" s="4">
        <v>3.0287516653143696</v>
      </c>
      <c r="C127" s="5">
        <v>50.921399039823434</v>
      </c>
      <c r="D127" s="4">
        <v>1.7223610485181227</v>
      </c>
    </row>
    <row r="128" spans="1:4" ht="14.25" customHeight="1" x14ac:dyDescent="0.35">
      <c r="A128" s="1">
        <v>341</v>
      </c>
      <c r="B128" s="4">
        <v>9.2937775533492317</v>
      </c>
      <c r="C128" s="5">
        <v>55.243463507221854</v>
      </c>
      <c r="D128" s="4">
        <v>3.2323925522587835</v>
      </c>
    </row>
    <row r="129" spans="1:4" ht="14.25" customHeight="1" x14ac:dyDescent="0.35">
      <c r="A129" s="1">
        <v>343</v>
      </c>
      <c r="B129" s="4">
        <v>9.9498099592155818</v>
      </c>
      <c r="C129" s="5">
        <v>62.51765045226999</v>
      </c>
      <c r="D129" s="4">
        <v>3.1480015347014954</v>
      </c>
    </row>
    <row r="130" spans="1:4" ht="14.25" customHeight="1" x14ac:dyDescent="0.35">
      <c r="A130" s="1">
        <v>344</v>
      </c>
      <c r="B130" s="4">
        <v>1.4409555797462914</v>
      </c>
      <c r="C130" s="5">
        <v>51.826452812467558</v>
      </c>
      <c r="D130" s="4">
        <v>0.656559191745685</v>
      </c>
    </row>
    <row r="131" spans="1:4" ht="14.25" customHeight="1" x14ac:dyDescent="0.35">
      <c r="A131" s="1">
        <v>349</v>
      </c>
      <c r="B131" s="4">
        <v>3.7569017588142719</v>
      </c>
      <c r="C131" s="5">
        <v>53.684848364089433</v>
      </c>
      <c r="D131" s="4">
        <v>2.0595506798755885</v>
      </c>
    </row>
    <row r="132" spans="1:4" ht="14.25" customHeight="1" x14ac:dyDescent="0.35">
      <c r="A132" s="1">
        <v>350</v>
      </c>
      <c r="B132" s="4">
        <v>0.56416783163394379</v>
      </c>
      <c r="C132" s="5">
        <v>64.573079635478294</v>
      </c>
      <c r="D132" s="4">
        <v>2.3929696504186952</v>
      </c>
    </row>
    <row r="133" spans="1:4" ht="14.25" customHeight="1" x14ac:dyDescent="0.35">
      <c r="A133" s="1">
        <v>351</v>
      </c>
      <c r="B133" s="4">
        <v>4.1220954974993038</v>
      </c>
      <c r="C133" s="5">
        <v>69.265305667851678</v>
      </c>
      <c r="D133" s="4">
        <v>2.0491454522982719</v>
      </c>
    </row>
    <row r="134" spans="1:4" ht="14.25" customHeight="1" x14ac:dyDescent="0.35">
      <c r="A134" s="1">
        <v>354</v>
      </c>
      <c r="B134" s="4">
        <v>3.7350968175536381</v>
      </c>
      <c r="C134" s="5">
        <v>33.933607047455794</v>
      </c>
      <c r="D134" s="4">
        <v>2.1386787954777438</v>
      </c>
    </row>
    <row r="135" spans="1:4" ht="14.25" customHeight="1" x14ac:dyDescent="0.35">
      <c r="A135" s="1">
        <v>356</v>
      </c>
      <c r="B135" s="4">
        <v>8.5187015079434971</v>
      </c>
      <c r="C135" s="5">
        <v>20.900864679576038</v>
      </c>
      <c r="D135" s="4">
        <v>3.1827037614280886</v>
      </c>
    </row>
    <row r="136" spans="1:4" ht="14.25" customHeight="1" x14ac:dyDescent="0.35">
      <c r="A136" s="1">
        <v>357</v>
      </c>
      <c r="B136" s="4">
        <v>1.9687143421605768</v>
      </c>
      <c r="C136" s="5">
        <v>40.659911436870388</v>
      </c>
      <c r="D136" s="4">
        <v>1.5635688230731506</v>
      </c>
    </row>
    <row r="137" spans="1:4" ht="14.25" customHeight="1" x14ac:dyDescent="0.35">
      <c r="A137" s="1">
        <v>359</v>
      </c>
      <c r="B137" s="4">
        <v>1.7982803515712631</v>
      </c>
      <c r="C137" s="5">
        <v>39.244018468079979</v>
      </c>
      <c r="D137" s="4">
        <v>0.91531957842064871</v>
      </c>
    </row>
    <row r="138" spans="1:4" ht="14.25" customHeight="1" x14ac:dyDescent="0.35">
      <c r="A138" s="1">
        <v>361</v>
      </c>
      <c r="B138" s="4">
        <v>2.2948480039529837</v>
      </c>
      <c r="C138" s="5">
        <v>59.614503273278544</v>
      </c>
      <c r="D138" s="4">
        <v>1.7420864405664629</v>
      </c>
    </row>
    <row r="139" spans="1:4" ht="14.25" customHeight="1" x14ac:dyDescent="0.35">
      <c r="A139" s="1">
        <v>363</v>
      </c>
      <c r="B139" s="4">
        <v>5.7235684506015163</v>
      </c>
      <c r="C139" s="5">
        <v>6.0982912697297165</v>
      </c>
      <c r="D139" s="4">
        <v>1.1986349997228909</v>
      </c>
    </row>
    <row r="140" spans="1:4" ht="14.25" customHeight="1" x14ac:dyDescent="0.35">
      <c r="A140" s="1">
        <v>369</v>
      </c>
      <c r="B140" s="4">
        <v>0.77954630192057506</v>
      </c>
      <c r="C140" s="5">
        <v>98.923876546700512</v>
      </c>
      <c r="D140" s="4">
        <v>1.0344286700388112</v>
      </c>
    </row>
    <row r="141" spans="1:4" ht="14.25" customHeight="1" x14ac:dyDescent="0.35">
      <c r="A141" s="1">
        <v>375</v>
      </c>
      <c r="B141" s="4">
        <v>0.89918657385703482</v>
      </c>
      <c r="C141" s="5">
        <v>39.624427424614318</v>
      </c>
      <c r="D141" s="4">
        <v>0.40697478420635397</v>
      </c>
    </row>
    <row r="142" spans="1:4" ht="14.25" customHeight="1" x14ac:dyDescent="0.35">
      <c r="A142" s="1">
        <v>376</v>
      </c>
      <c r="B142" s="4">
        <v>4.1996041412701492</v>
      </c>
      <c r="C142" s="5">
        <v>29.554887407468321</v>
      </c>
      <c r="D142" s="4">
        <v>2.3762487805115771</v>
      </c>
    </row>
    <row r="143" spans="1:4" ht="14.25" customHeight="1" x14ac:dyDescent="0.35">
      <c r="A143" s="1">
        <v>377</v>
      </c>
      <c r="B143" s="4">
        <v>2.8519157528359718</v>
      </c>
      <c r="C143" s="5">
        <v>48.290938191724244</v>
      </c>
      <c r="D143" s="4">
        <v>3.2365742267164799</v>
      </c>
    </row>
    <row r="144" spans="1:4" ht="14.25" customHeight="1" x14ac:dyDescent="0.35">
      <c r="A144" s="1">
        <v>383</v>
      </c>
      <c r="B144" s="4">
        <v>2.8777593324401196</v>
      </c>
      <c r="C144" s="5">
        <v>10.359098298260417</v>
      </c>
      <c r="D144" s="4">
        <v>2.406073449038022</v>
      </c>
    </row>
    <row r="145" spans="1:4" ht="14.25" customHeight="1" x14ac:dyDescent="0.35">
      <c r="A145" s="1">
        <v>384</v>
      </c>
      <c r="B145" s="4">
        <v>8.035151438118433</v>
      </c>
      <c r="C145" s="5">
        <v>7.6335889288701058</v>
      </c>
      <c r="D145" s="4">
        <v>1.6787814738012135</v>
      </c>
    </row>
    <row r="146" spans="1:4" ht="14.25" customHeight="1" x14ac:dyDescent="0.35">
      <c r="A146" s="1">
        <v>386</v>
      </c>
      <c r="B146" s="4">
        <v>6.6649267657293212</v>
      </c>
      <c r="C146" s="5">
        <v>1.5840628620161334</v>
      </c>
      <c r="D146" s="4">
        <v>0.55816895182779591</v>
      </c>
    </row>
    <row r="147" spans="1:4" ht="14.25" customHeight="1" x14ac:dyDescent="0.35">
      <c r="A147" s="1">
        <v>387</v>
      </c>
      <c r="B147" s="4">
        <v>3.2750028386886876</v>
      </c>
      <c r="C147" s="5">
        <v>36.826065290398482</v>
      </c>
      <c r="D147" s="4">
        <v>0.54414757171076356</v>
      </c>
    </row>
    <row r="148" spans="1:4" ht="14.25" customHeight="1" x14ac:dyDescent="0.35">
      <c r="A148" s="1">
        <v>388</v>
      </c>
      <c r="B148" s="4">
        <v>2.2519792294119734</v>
      </c>
      <c r="C148" s="5">
        <v>45.332883004994272</v>
      </c>
      <c r="D148" s="4">
        <v>2.4021873487472218</v>
      </c>
    </row>
    <row r="149" spans="1:4" ht="14.25" customHeight="1" x14ac:dyDescent="0.35">
      <c r="A149" s="1">
        <v>390</v>
      </c>
      <c r="B149" s="4">
        <v>4.7303052822952889</v>
      </c>
      <c r="C149" s="5">
        <v>14.425084627125706</v>
      </c>
      <c r="D149" s="4">
        <v>2.5764676632300247</v>
      </c>
    </row>
    <row r="150" spans="1:4" ht="14.25" customHeight="1" x14ac:dyDescent="0.35">
      <c r="A150" s="1">
        <v>401</v>
      </c>
      <c r="B150" s="4">
        <v>1.393934377638294</v>
      </c>
      <c r="C150" s="5">
        <v>14.510763792571202</v>
      </c>
      <c r="D150" s="4">
        <v>2.8000267832792849</v>
      </c>
    </row>
    <row r="151" spans="1:4" ht="14.25" customHeight="1" x14ac:dyDescent="0.35">
      <c r="A151" s="1">
        <v>406</v>
      </c>
      <c r="B151" s="4">
        <v>4.1751882056325158</v>
      </c>
      <c r="C151" s="5">
        <v>3.9039655754233515</v>
      </c>
      <c r="D151" s="4">
        <v>1.9765862426740932</v>
      </c>
    </row>
    <row r="152" spans="1:4" ht="14.25" customHeight="1" x14ac:dyDescent="0.35">
      <c r="A152" s="1">
        <v>408</v>
      </c>
      <c r="B152" s="4">
        <v>3.1328311926868349</v>
      </c>
      <c r="C152" s="5">
        <v>50.531042893314527</v>
      </c>
      <c r="D152" s="4">
        <v>1.445820181648275</v>
      </c>
    </row>
    <row r="153" spans="1:4" ht="14.25" customHeight="1" x14ac:dyDescent="0.35">
      <c r="A153" s="1">
        <v>413</v>
      </c>
      <c r="B153" s="4">
        <v>2.0456453937408234</v>
      </c>
      <c r="C153" s="5">
        <v>42.783899241779054</v>
      </c>
      <c r="D153" s="4">
        <v>1.3577955705248188</v>
      </c>
    </row>
    <row r="154" spans="1:4" ht="14.25" customHeight="1" x14ac:dyDescent="0.35">
      <c r="A154" s="1">
        <v>415</v>
      </c>
      <c r="B154" s="4">
        <v>0.70067273284080134</v>
      </c>
      <c r="C154" s="5">
        <v>95.353208893257985</v>
      </c>
      <c r="D154" s="4">
        <v>1.0568472590055649</v>
      </c>
    </row>
    <row r="155" spans="1:4" ht="14.25" customHeight="1" x14ac:dyDescent="0.35">
      <c r="A155" s="1">
        <v>416</v>
      </c>
      <c r="B155" s="4">
        <v>5.6878046898335022</v>
      </c>
      <c r="C155" s="5">
        <v>3.0848927959091998</v>
      </c>
      <c r="D155" s="4">
        <v>1.7300833981456418</v>
      </c>
    </row>
    <row r="156" spans="1:4" ht="14.25" customHeight="1" x14ac:dyDescent="0.35">
      <c r="A156" s="1">
        <v>417</v>
      </c>
      <c r="B156" s="4">
        <v>2.5451494406359032</v>
      </c>
      <c r="C156" s="5">
        <v>82.205010121632455</v>
      </c>
      <c r="D156" s="4">
        <v>1.360162703625075</v>
      </c>
    </row>
    <row r="157" spans="1:4" ht="14.25" customHeight="1" x14ac:dyDescent="0.35">
      <c r="A157" s="1">
        <v>418</v>
      </c>
      <c r="B157" s="4">
        <v>1.1510867564782989</v>
      </c>
      <c r="C157" s="5">
        <v>82.614360829755327</v>
      </c>
      <c r="D157" s="4">
        <v>0.98282399338864335</v>
      </c>
    </row>
    <row r="158" spans="1:4" ht="14.25" customHeight="1" x14ac:dyDescent="0.35">
      <c r="A158" s="1">
        <v>423</v>
      </c>
      <c r="B158" s="4">
        <v>1.393934377638294</v>
      </c>
      <c r="C158" s="5">
        <v>1.2335276551146634</v>
      </c>
      <c r="D158" s="4">
        <v>3.2110051583354786</v>
      </c>
    </row>
    <row r="159" spans="1:4" ht="14.25" customHeight="1" x14ac:dyDescent="0.35">
      <c r="A159" s="1">
        <v>424</v>
      </c>
      <c r="B159" s="4">
        <v>3.3462930271354443</v>
      </c>
      <c r="C159" s="5">
        <v>59.526186635962851</v>
      </c>
      <c r="D159" s="4">
        <v>0.85829262055055877</v>
      </c>
    </row>
    <row r="160" spans="1:4" ht="14.25" customHeight="1" x14ac:dyDescent="0.35">
      <c r="A160" s="1">
        <v>427</v>
      </c>
      <c r="B160" s="4">
        <v>1.6019813705055252</v>
      </c>
      <c r="C160" s="5">
        <v>47.266987872917873</v>
      </c>
      <c r="D160" s="4">
        <v>0.36150181534404291</v>
      </c>
    </row>
    <row r="161" spans="1:4" ht="14.25" customHeight="1" x14ac:dyDescent="0.35">
      <c r="A161" s="1">
        <v>431</v>
      </c>
      <c r="B161" s="4">
        <v>8.9647730460119526</v>
      </c>
      <c r="C161" s="5">
        <v>8.0102939251496146</v>
      </c>
      <c r="D161" s="4">
        <v>1.1192198458945315</v>
      </c>
    </row>
    <row r="162" spans="1:4" ht="14.25" customHeight="1" x14ac:dyDescent="0.35">
      <c r="A162" s="1">
        <v>437</v>
      </c>
      <c r="B162" s="4">
        <v>2.7344924567040052</v>
      </c>
      <c r="C162" s="5">
        <v>51.064056911758861</v>
      </c>
      <c r="D162" s="4">
        <v>2.9999414682567993</v>
      </c>
    </row>
    <row r="163" spans="1:4" ht="14.25" customHeight="1" x14ac:dyDescent="0.35">
      <c r="A163" s="1">
        <v>441</v>
      </c>
      <c r="B163" s="4">
        <v>9.6380365224874538</v>
      </c>
      <c r="C163" s="5">
        <v>4.7434515841039744</v>
      </c>
      <c r="D163" s="4">
        <v>1.1678727362738721</v>
      </c>
    </row>
    <row r="164" spans="1:4" ht="14.25" customHeight="1" x14ac:dyDescent="0.35">
      <c r="A164" s="1">
        <v>442</v>
      </c>
      <c r="B164" s="4">
        <v>6.8237014421710338</v>
      </c>
      <c r="C164" s="5">
        <v>26.987874219060771</v>
      </c>
      <c r="D164" s="4">
        <v>2.9262458882152407</v>
      </c>
    </row>
    <row r="165" spans="1:4" ht="14.25" customHeight="1" x14ac:dyDescent="0.35">
      <c r="A165" s="1">
        <v>443</v>
      </c>
      <c r="B165" s="4">
        <v>3.1097485430567051</v>
      </c>
      <c r="C165" s="5">
        <v>83.767907589946688</v>
      </c>
      <c r="D165" s="4">
        <v>1.3413836926218059</v>
      </c>
    </row>
    <row r="166" spans="1:4" ht="14.25" customHeight="1" x14ac:dyDescent="0.35">
      <c r="A166" s="1">
        <v>445</v>
      </c>
      <c r="B166" s="4">
        <v>1.3048074469911486</v>
      </c>
      <c r="C166" s="5">
        <v>57.065490961730212</v>
      </c>
      <c r="D166" s="4">
        <v>1.0151076385329041</v>
      </c>
    </row>
    <row r="167" spans="1:4" ht="14.25" customHeight="1" x14ac:dyDescent="0.35">
      <c r="A167" s="1">
        <v>452</v>
      </c>
      <c r="B167" s="4">
        <v>2.9664193506709768</v>
      </c>
      <c r="C167" s="5">
        <v>45.146999143990016</v>
      </c>
      <c r="D167" s="4">
        <v>2.7475387723030509</v>
      </c>
    </row>
    <row r="168" spans="1:4" ht="14.25" customHeight="1" x14ac:dyDescent="0.35">
      <c r="A168" s="1">
        <v>453</v>
      </c>
      <c r="B168" s="4">
        <v>0.66901126411196388</v>
      </c>
      <c r="C168" s="5">
        <v>91.096457737403895</v>
      </c>
      <c r="D168" s="4">
        <v>1.0634737095200235</v>
      </c>
    </row>
    <row r="169" spans="1:4" ht="14.25" customHeight="1" x14ac:dyDescent="0.35">
      <c r="A169" s="1">
        <v>456</v>
      </c>
      <c r="B169" s="4">
        <v>3.5090733514186034</v>
      </c>
      <c r="C169" s="5">
        <v>72.841066068298133</v>
      </c>
      <c r="D169" s="4">
        <v>2.6869532336308892</v>
      </c>
    </row>
    <row r="170" spans="1:4" ht="14.25" customHeight="1" x14ac:dyDescent="0.35">
      <c r="A170" s="1">
        <v>457</v>
      </c>
      <c r="B170" s="4">
        <v>9.7411291855280542</v>
      </c>
      <c r="C170" s="5">
        <v>61.295537631767019</v>
      </c>
      <c r="D170" s="4">
        <v>3.0412583737298071</v>
      </c>
    </row>
    <row r="171" spans="1:4" ht="14.25" customHeight="1" x14ac:dyDescent="0.35">
      <c r="A171" s="1">
        <v>458</v>
      </c>
      <c r="B171" s="4">
        <v>2.2156445007231671</v>
      </c>
      <c r="C171" s="5">
        <v>79.041446545527791</v>
      </c>
      <c r="D171" s="4">
        <v>0.60677025062705414</v>
      </c>
    </row>
    <row r="172" spans="1:4" ht="14.25" customHeight="1" x14ac:dyDescent="0.35">
      <c r="A172" s="1">
        <v>461</v>
      </c>
      <c r="B172" s="4">
        <v>9.8706430081565681</v>
      </c>
      <c r="C172" s="5">
        <v>6.5135063795158761</v>
      </c>
      <c r="D172" s="4">
        <v>2.3568961093450351</v>
      </c>
    </row>
    <row r="173" spans="1:4" ht="14.25" customHeight="1" x14ac:dyDescent="0.35">
      <c r="A173" s="1">
        <v>464</v>
      </c>
      <c r="B173" s="4">
        <v>6.7669690467274481</v>
      </c>
      <c r="C173" s="5">
        <v>2.9920748749063808</v>
      </c>
      <c r="D173" s="4">
        <v>2.5447374597202428</v>
      </c>
    </row>
    <row r="174" spans="1:4" ht="14.25" customHeight="1" x14ac:dyDescent="0.35">
      <c r="A174" s="1">
        <v>465</v>
      </c>
      <c r="B174" s="4">
        <v>3.0831343869225938</v>
      </c>
      <c r="C174" s="5">
        <v>86.805112219472846</v>
      </c>
      <c r="D174" s="4">
        <v>2.2485544267886968</v>
      </c>
    </row>
    <row r="175" spans="1:4" ht="14.25" customHeight="1" x14ac:dyDescent="0.35">
      <c r="A175" s="1">
        <v>466</v>
      </c>
      <c r="B175" s="4">
        <v>5.2486953648089152</v>
      </c>
      <c r="C175" s="5">
        <v>6.8191733528805027</v>
      </c>
      <c r="D175" s="4">
        <v>0.69438688024081152</v>
      </c>
    </row>
    <row r="176" spans="1:4" ht="14.25" customHeight="1" x14ac:dyDescent="0.35">
      <c r="A176" s="1">
        <v>468</v>
      </c>
      <c r="B176" s="4">
        <v>2.6929204855717415</v>
      </c>
      <c r="C176" s="5">
        <v>90.911355869028071</v>
      </c>
      <c r="D176" s="4">
        <v>2.3798072204901284</v>
      </c>
    </row>
    <row r="177" spans="1:4" ht="14.25" customHeight="1" x14ac:dyDescent="0.35">
      <c r="A177" s="1">
        <v>469</v>
      </c>
      <c r="B177" s="4">
        <v>1.960260648324007</v>
      </c>
      <c r="C177" s="5">
        <v>84.827544236003277</v>
      </c>
      <c r="D177" s="4">
        <v>1.4916155764711687</v>
      </c>
    </row>
    <row r="178" spans="1:4" ht="14.25" customHeight="1" x14ac:dyDescent="0.35">
      <c r="A178" s="1">
        <v>470</v>
      </c>
      <c r="B178" s="4">
        <v>6.9519228468531882</v>
      </c>
      <c r="C178" s="5">
        <v>8.8744800057905628</v>
      </c>
      <c r="D178" s="4">
        <v>3.0340246196971177</v>
      </c>
    </row>
    <row r="179" spans="1:4" ht="14.25" customHeight="1" x14ac:dyDescent="0.35">
      <c r="A179" s="1">
        <v>476</v>
      </c>
      <c r="B179" s="4">
        <v>3.4385573789594392</v>
      </c>
      <c r="C179" s="5">
        <v>11.72597529678735</v>
      </c>
      <c r="D179" s="4">
        <v>2.1631363747642265</v>
      </c>
    </row>
    <row r="180" spans="1:4" ht="14.25" customHeight="1" x14ac:dyDescent="0.35">
      <c r="A180" s="1">
        <v>478</v>
      </c>
      <c r="B180" s="4">
        <v>2.4935478014950609</v>
      </c>
      <c r="C180" s="5">
        <v>75.927294158058331</v>
      </c>
      <c r="D180" s="4">
        <v>0.56322531425531597</v>
      </c>
    </row>
    <row r="181" spans="1:4" ht="14.25" customHeight="1" x14ac:dyDescent="0.35">
      <c r="A181" s="1">
        <v>479</v>
      </c>
      <c r="B181" s="4">
        <v>2.3623766896901865</v>
      </c>
      <c r="C181" s="5">
        <v>2.4240394499852935</v>
      </c>
      <c r="D181" s="4">
        <v>0.9464445731485791</v>
      </c>
    </row>
    <row r="182" spans="1:4" ht="14.25" customHeight="1" x14ac:dyDescent="0.35">
      <c r="A182" s="1">
        <v>480</v>
      </c>
      <c r="B182" s="4">
        <v>7.4880841886086351</v>
      </c>
      <c r="C182" s="5">
        <v>6.6127645590714597</v>
      </c>
      <c r="D182" s="4">
        <v>2.9927085828985591</v>
      </c>
    </row>
    <row r="183" spans="1:4" ht="14.25" customHeight="1" x14ac:dyDescent="0.35">
      <c r="A183" s="1">
        <v>497</v>
      </c>
      <c r="B183" s="4">
        <v>3.4258996731896465</v>
      </c>
      <c r="C183" s="5">
        <v>96.180889629371464</v>
      </c>
      <c r="D183" s="4">
        <v>2.4505110613265035</v>
      </c>
    </row>
    <row r="184" spans="1:4" ht="14.25" customHeight="1" x14ac:dyDescent="0.35">
      <c r="A184" s="1">
        <v>498</v>
      </c>
      <c r="B184" s="4">
        <v>1.9104088844112177</v>
      </c>
      <c r="C184" s="5">
        <v>82.940284101775546</v>
      </c>
      <c r="D184" s="4">
        <v>2.8432320106605471</v>
      </c>
    </row>
    <row r="185" spans="1:4" ht="14.25" customHeight="1" x14ac:dyDescent="0.35">
      <c r="A185" s="1">
        <v>502</v>
      </c>
      <c r="B185" s="4">
        <v>9.7173833291681291</v>
      </c>
      <c r="C185" s="5">
        <v>89.470362092680816</v>
      </c>
      <c r="D185" s="4">
        <v>3.1327745557221771</v>
      </c>
    </row>
    <row r="186" spans="1:4" ht="14.25" customHeight="1" x14ac:dyDescent="0.35">
      <c r="A186" s="1">
        <v>505</v>
      </c>
      <c r="B186" s="4">
        <v>4.6162238654125858</v>
      </c>
      <c r="C186" s="5">
        <v>82.06347396339882</v>
      </c>
      <c r="D186" s="4">
        <v>3.0154314720782232</v>
      </c>
    </row>
    <row r="187" spans="1:4" ht="14.25" customHeight="1" x14ac:dyDescent="0.35">
      <c r="A187" s="1">
        <v>512</v>
      </c>
      <c r="B187" s="4">
        <v>9.520233719062384</v>
      </c>
      <c r="C187" s="5">
        <v>66.494999852687727</v>
      </c>
      <c r="D187" s="4">
        <v>2.9838461418983462</v>
      </c>
    </row>
    <row r="188" spans="1:4" ht="14.25" customHeight="1" x14ac:dyDescent="0.35">
      <c r="A188" s="1">
        <v>515</v>
      </c>
      <c r="B188" s="4">
        <v>1.240627503102999</v>
      </c>
      <c r="C188" s="5">
        <v>54.593837840536132</v>
      </c>
      <c r="D188" s="4">
        <v>1.0018793941922919</v>
      </c>
    </row>
    <row r="189" spans="1:4" ht="14.25" customHeight="1" x14ac:dyDescent="0.35">
      <c r="A189" s="1">
        <v>516</v>
      </c>
      <c r="B189" s="4">
        <v>2.9214487533555857</v>
      </c>
      <c r="C189" s="5">
        <v>50.293624079647927</v>
      </c>
      <c r="D189" s="4">
        <v>2.0706819089538282</v>
      </c>
    </row>
    <row r="190" spans="1:4" ht="14.25" customHeight="1" x14ac:dyDescent="0.35">
      <c r="A190" s="1">
        <v>519</v>
      </c>
      <c r="B190" s="4">
        <v>1.7129214016216177</v>
      </c>
      <c r="C190" s="5">
        <v>34.069887001805455</v>
      </c>
      <c r="D190" s="4">
        <v>1.2210861738871173</v>
      </c>
    </row>
    <row r="191" spans="1:4" ht="14.25" customHeight="1" x14ac:dyDescent="0.35">
      <c r="A191" s="1">
        <v>523</v>
      </c>
      <c r="B191" s="4">
        <v>1.1308325558149801</v>
      </c>
      <c r="C191" s="5">
        <v>19.756648686936952</v>
      </c>
      <c r="D191" s="4">
        <v>0.45532453933257716</v>
      </c>
    </row>
    <row r="192" spans="1:4" ht="14.25" customHeight="1" x14ac:dyDescent="0.35">
      <c r="A192" s="1">
        <v>524</v>
      </c>
      <c r="B192" s="4">
        <v>8.7645752668996515</v>
      </c>
      <c r="C192" s="5">
        <v>6.3930294339379135</v>
      </c>
      <c r="D192" s="4">
        <v>1.6447189242021771</v>
      </c>
    </row>
    <row r="193" spans="1:4" ht="14.25" customHeight="1" x14ac:dyDescent="0.35">
      <c r="A193" s="1">
        <v>525</v>
      </c>
      <c r="B193" s="4">
        <v>9.5236409817562873</v>
      </c>
      <c r="C193" s="5">
        <v>97.275718833503845</v>
      </c>
      <c r="D193" s="4">
        <v>2.9864677906012709</v>
      </c>
    </row>
    <row r="194" spans="1:4" ht="14.25" customHeight="1" x14ac:dyDescent="0.35">
      <c r="A194" s="1">
        <v>528</v>
      </c>
      <c r="B194" s="4">
        <v>9.099825342945012</v>
      </c>
      <c r="C194" s="5">
        <v>4.6999173287881941</v>
      </c>
      <c r="D194" s="4">
        <v>2.9623447401465319</v>
      </c>
    </row>
    <row r="195" spans="1:4" ht="14.25" customHeight="1" x14ac:dyDescent="0.35">
      <c r="A195" s="1">
        <v>530</v>
      </c>
      <c r="B195" s="4">
        <v>2.5313910301294964</v>
      </c>
      <c r="C195" s="5">
        <v>66.493854954952141</v>
      </c>
      <c r="D195" s="4">
        <v>2.1687808685646695</v>
      </c>
    </row>
    <row r="196" spans="1:4" ht="14.25" customHeight="1" x14ac:dyDescent="0.35">
      <c r="A196" s="1">
        <v>531</v>
      </c>
      <c r="B196" s="4">
        <v>2.3230111253359453</v>
      </c>
      <c r="C196" s="5">
        <v>52.211004781502709</v>
      </c>
      <c r="D196" s="4">
        <v>1.5462919626361256</v>
      </c>
    </row>
    <row r="197" spans="1:4" ht="14.25" customHeight="1" x14ac:dyDescent="0.35">
      <c r="A197" s="1">
        <v>532</v>
      </c>
      <c r="B197" s="4">
        <v>5.7312977182662452</v>
      </c>
      <c r="C197" s="5">
        <v>96.913462579320978</v>
      </c>
      <c r="D197" s="4">
        <v>3.0287408735314862</v>
      </c>
    </row>
    <row r="198" spans="1:4" ht="14.25" customHeight="1" x14ac:dyDescent="0.35">
      <c r="A198" s="1">
        <v>536</v>
      </c>
      <c r="B198" s="4">
        <v>3.2945405279487461</v>
      </c>
      <c r="C198" s="5">
        <v>29.646627677663162</v>
      </c>
      <c r="D198" s="4">
        <v>2.4709256706022753</v>
      </c>
    </row>
    <row r="199" spans="1:4" ht="14.25" customHeight="1" x14ac:dyDescent="0.35">
      <c r="A199" s="1">
        <v>537</v>
      </c>
      <c r="B199" s="4">
        <v>1.7950126880606188</v>
      </c>
      <c r="C199" s="5">
        <v>90.925769445749779</v>
      </c>
      <c r="D199" s="4">
        <v>2.6579714270564554</v>
      </c>
    </row>
    <row r="200" spans="1:4" ht="14.25" customHeight="1" x14ac:dyDescent="0.35">
      <c r="A200" s="1">
        <v>541</v>
      </c>
      <c r="B200" s="4">
        <v>3.6651210525922293</v>
      </c>
      <c r="C200" s="5">
        <v>64.855652215284636</v>
      </c>
      <c r="D200" s="4">
        <v>2.1701470340175435</v>
      </c>
    </row>
    <row r="201" spans="1:4" ht="14.25" customHeight="1" x14ac:dyDescent="0.35">
      <c r="A201" s="1">
        <v>542</v>
      </c>
      <c r="B201" s="4">
        <v>1.6840524927386569</v>
      </c>
      <c r="C201" s="5">
        <v>17.542143370001906</v>
      </c>
      <c r="D201" s="4">
        <v>0.90554164351009092</v>
      </c>
    </row>
    <row r="202" spans="1:4" ht="14.25" customHeight="1" x14ac:dyDescent="0.35">
      <c r="A202" s="1">
        <v>543</v>
      </c>
      <c r="B202" s="4">
        <v>2.6990095804642378</v>
      </c>
      <c r="C202" s="5">
        <v>96.478619023202157</v>
      </c>
      <c r="D202" s="4">
        <v>2.7633519420603814</v>
      </c>
    </row>
    <row r="203" spans="1:4" ht="14.25" customHeight="1" x14ac:dyDescent="0.35">
      <c r="A203" s="1">
        <v>546</v>
      </c>
      <c r="B203" s="4">
        <v>7.7609436941717203</v>
      </c>
      <c r="C203" s="5">
        <v>74.093371923050739</v>
      </c>
      <c r="D203" s="4">
        <v>3.0392764260310083</v>
      </c>
    </row>
    <row r="204" spans="1:4" ht="14.25" customHeight="1" x14ac:dyDescent="0.35">
      <c r="A204" s="1">
        <v>549</v>
      </c>
      <c r="B204" s="4">
        <v>1.3572258448421848</v>
      </c>
      <c r="C204" s="5">
        <v>84.018507107467201</v>
      </c>
      <c r="D204" s="4">
        <v>1.2038949624514466</v>
      </c>
    </row>
    <row r="205" spans="1:4" ht="14.25" customHeight="1" x14ac:dyDescent="0.35">
      <c r="A205" s="1">
        <v>552</v>
      </c>
      <c r="B205" s="4">
        <v>7.9125297320670285</v>
      </c>
      <c r="C205" s="5">
        <v>19.310801982175718</v>
      </c>
      <c r="D205" s="4">
        <v>2.8415245242834861</v>
      </c>
    </row>
    <row r="206" spans="1:4" ht="14.25" customHeight="1" x14ac:dyDescent="0.35">
      <c r="A206" s="1">
        <v>555</v>
      </c>
      <c r="B206" s="4">
        <v>6.4576425653480527</v>
      </c>
      <c r="C206" s="5">
        <v>73.530343404511726</v>
      </c>
      <c r="D206" s="4">
        <v>2.9206955976643583</v>
      </c>
    </row>
    <row r="207" spans="1:4" ht="14.25" customHeight="1" x14ac:dyDescent="0.35">
      <c r="A207" s="1">
        <v>558</v>
      </c>
      <c r="B207" s="4">
        <v>4.2138978092078769</v>
      </c>
      <c r="C207" s="5">
        <v>75.38453761039554</v>
      </c>
      <c r="D207" s="4">
        <v>3.0708065986658539</v>
      </c>
    </row>
    <row r="208" spans="1:4" ht="14.25" customHeight="1" x14ac:dyDescent="0.35">
      <c r="A208" s="1">
        <v>561</v>
      </c>
      <c r="B208" s="4">
        <v>1.4930828690322018</v>
      </c>
      <c r="C208" s="5">
        <v>15.717982192987733</v>
      </c>
      <c r="D208" s="4">
        <v>2.6576969020460908</v>
      </c>
    </row>
    <row r="209" spans="1:4" ht="14.25" customHeight="1" x14ac:dyDescent="0.35">
      <c r="A209" s="1">
        <v>567</v>
      </c>
      <c r="B209" s="4">
        <v>5.938837137752337</v>
      </c>
      <c r="C209" s="5">
        <v>7.9265671784590097</v>
      </c>
      <c r="D209" s="4">
        <v>2.6989977181773459</v>
      </c>
    </row>
    <row r="210" spans="1:4" ht="14.25" customHeight="1" x14ac:dyDescent="0.35">
      <c r="A210" s="1">
        <v>569</v>
      </c>
      <c r="B210" s="4">
        <v>3.6644565432183054</v>
      </c>
      <c r="C210" s="5">
        <v>28.536053126350748</v>
      </c>
      <c r="D210" s="4">
        <v>2.2018557237066427</v>
      </c>
    </row>
    <row r="211" spans="1:4" ht="14.25" customHeight="1" x14ac:dyDescent="0.35">
      <c r="A211" s="1">
        <v>570</v>
      </c>
      <c r="B211" s="4">
        <v>4.641911641886189</v>
      </c>
      <c r="C211" s="5">
        <v>0.7361126155005504</v>
      </c>
      <c r="D211" s="4">
        <v>1.9311091598096972</v>
      </c>
    </row>
    <row r="212" spans="1:4" ht="14.25" customHeight="1" x14ac:dyDescent="0.35">
      <c r="A212" s="1">
        <v>578</v>
      </c>
      <c r="B212" s="4">
        <v>1.1944592939429988</v>
      </c>
      <c r="C212" s="5">
        <v>77.414553789961857</v>
      </c>
      <c r="D212" s="4">
        <v>1.4610814442965943</v>
      </c>
    </row>
    <row r="213" spans="1:4" ht="14.25" customHeight="1" x14ac:dyDescent="0.35">
      <c r="A213" s="1">
        <v>580</v>
      </c>
      <c r="B213" s="4">
        <v>8.860693682664639</v>
      </c>
      <c r="C213" s="5">
        <v>41.472093133350455</v>
      </c>
      <c r="D213" s="4">
        <v>2.7936637729072373</v>
      </c>
    </row>
    <row r="214" spans="1:4" ht="14.25" customHeight="1" x14ac:dyDescent="0.35">
      <c r="A214" s="1">
        <v>581</v>
      </c>
      <c r="B214" s="4">
        <v>1.4930828690322018</v>
      </c>
      <c r="C214" s="5">
        <v>26.990231455715875</v>
      </c>
      <c r="D214" s="4">
        <v>1.8120691029191798</v>
      </c>
    </row>
    <row r="215" spans="1:4" ht="14.25" customHeight="1" x14ac:dyDescent="0.35">
      <c r="A215" s="1">
        <v>582</v>
      </c>
      <c r="B215" s="4">
        <v>5.6107386917113438</v>
      </c>
      <c r="C215" s="5">
        <v>62.244386652207581</v>
      </c>
      <c r="D215" s="4">
        <v>2.9546760293938039</v>
      </c>
    </row>
    <row r="216" spans="1:4" ht="14.25" customHeight="1" x14ac:dyDescent="0.35">
      <c r="A216" s="1">
        <v>586</v>
      </c>
      <c r="B216" s="4">
        <v>1.794780770638037</v>
      </c>
      <c r="C216" s="5">
        <v>13.157144050897463</v>
      </c>
      <c r="D216" s="4">
        <v>1.0187402261997685</v>
      </c>
    </row>
    <row r="217" spans="1:4" ht="14.25" customHeight="1" x14ac:dyDescent="0.35">
      <c r="A217" s="1">
        <v>592</v>
      </c>
      <c r="B217" s="4">
        <v>3.1448978560422081</v>
      </c>
      <c r="C217" s="5">
        <v>88.999860494817909</v>
      </c>
      <c r="D217" s="4">
        <v>0.45380353961207798</v>
      </c>
    </row>
    <row r="218" spans="1:4" ht="14.25" customHeight="1" x14ac:dyDescent="0.35">
      <c r="A218" s="1">
        <v>596</v>
      </c>
      <c r="B218" s="4">
        <v>5.4851922697947408</v>
      </c>
      <c r="C218" s="5">
        <v>82.744164611208475</v>
      </c>
      <c r="D218" s="4">
        <v>2.9737752109346953</v>
      </c>
    </row>
    <row r="219" spans="1:4" ht="14.25" customHeight="1" x14ac:dyDescent="0.35">
      <c r="A219" s="1">
        <v>612</v>
      </c>
      <c r="B219" s="4">
        <v>2.9621946476247829</v>
      </c>
      <c r="C219" s="5">
        <v>24.241899694726765</v>
      </c>
      <c r="D219" s="4">
        <v>0.94691978123761955</v>
      </c>
    </row>
    <row r="220" spans="1:4" ht="14.25" customHeight="1" x14ac:dyDescent="0.35">
      <c r="A220" s="1">
        <v>615</v>
      </c>
      <c r="B220" s="4">
        <v>2.874076141842826</v>
      </c>
      <c r="C220" s="5">
        <v>36.801063606443776</v>
      </c>
      <c r="D220" s="4">
        <v>1.7435294005756401</v>
      </c>
    </row>
    <row r="221" spans="1:4" ht="14.25" customHeight="1" x14ac:dyDescent="0.35">
      <c r="A221" s="1">
        <v>616</v>
      </c>
      <c r="B221" s="4">
        <v>3.7358702912983857</v>
      </c>
      <c r="C221" s="5">
        <v>46.47471706167736</v>
      </c>
      <c r="D221" s="4">
        <v>1.9513982144958901</v>
      </c>
    </row>
    <row r="222" spans="1:4" ht="14.25" customHeight="1" x14ac:dyDescent="0.35">
      <c r="A222" s="1">
        <v>617</v>
      </c>
      <c r="B222" s="4">
        <v>2.3678668591491849</v>
      </c>
      <c r="C222" s="5">
        <v>67.950210726920147</v>
      </c>
      <c r="D222" s="4">
        <v>1.4095983863444823</v>
      </c>
    </row>
    <row r="223" spans="1:4" ht="14.25" customHeight="1" x14ac:dyDescent="0.35">
      <c r="A223" s="1">
        <v>618</v>
      </c>
      <c r="B223" s="4">
        <v>1.9363829889535311</v>
      </c>
      <c r="C223" s="5">
        <v>89.519498797185008</v>
      </c>
      <c r="D223" s="4">
        <v>0.99037553406235113</v>
      </c>
    </row>
    <row r="224" spans="1:4" ht="14.25" customHeight="1" x14ac:dyDescent="0.35">
      <c r="A224" s="1">
        <v>623</v>
      </c>
      <c r="B224" s="4">
        <v>3.1004017666829631</v>
      </c>
      <c r="C224" s="5">
        <v>19.699325486391615</v>
      </c>
      <c r="D224" s="4">
        <v>1.0853579594993954</v>
      </c>
    </row>
    <row r="225" spans="1:4" ht="14.25" customHeight="1" x14ac:dyDescent="0.35">
      <c r="A225" s="1">
        <v>627</v>
      </c>
      <c r="B225" s="4">
        <v>3.7651571273749482</v>
      </c>
      <c r="C225" s="5">
        <v>80.822747481037823</v>
      </c>
      <c r="D225" s="4">
        <v>2.4989221908616703</v>
      </c>
    </row>
    <row r="226" spans="1:4" ht="14.25" customHeight="1" x14ac:dyDescent="0.35">
      <c r="A226" s="1">
        <v>631</v>
      </c>
      <c r="B226" s="4">
        <v>9.4227545758652536</v>
      </c>
      <c r="C226" s="5">
        <v>0.40188261642927214</v>
      </c>
      <c r="D226" s="4">
        <v>2.0276600868965624</v>
      </c>
    </row>
    <row r="227" spans="1:4" ht="14.25" customHeight="1" x14ac:dyDescent="0.35">
      <c r="A227" s="1">
        <v>633</v>
      </c>
      <c r="B227" s="4">
        <v>3.3668647998093402</v>
      </c>
      <c r="C227" s="5">
        <v>48.392565898159553</v>
      </c>
      <c r="D227" s="4">
        <v>1.8762014902635056</v>
      </c>
    </row>
    <row r="228" spans="1:4" ht="14.25" customHeight="1" x14ac:dyDescent="0.35">
      <c r="A228" s="1">
        <v>634</v>
      </c>
      <c r="B228" s="4">
        <v>3.2000780254935224</v>
      </c>
      <c r="C228" s="5">
        <v>22.920349102953708</v>
      </c>
      <c r="D228" s="4">
        <v>0.97187447180634146</v>
      </c>
    </row>
    <row r="229" spans="1:4" ht="14.25" customHeight="1" x14ac:dyDescent="0.35">
      <c r="A229" s="1">
        <v>636</v>
      </c>
      <c r="B229" s="4">
        <v>0.85906094707500658</v>
      </c>
      <c r="C229" s="5">
        <v>53.184896424459929</v>
      </c>
      <c r="D229" s="4">
        <v>0.58910552497746771</v>
      </c>
    </row>
    <row r="230" spans="1:4" ht="14.25" customHeight="1" x14ac:dyDescent="0.35">
      <c r="A230" s="1">
        <v>642</v>
      </c>
      <c r="B230" s="4">
        <v>6.4951266980526849</v>
      </c>
      <c r="C230" s="5">
        <v>0.85461864823491718</v>
      </c>
      <c r="D230" s="4">
        <v>1.0789884556055376</v>
      </c>
    </row>
    <row r="231" spans="1:4" ht="14.25" customHeight="1" x14ac:dyDescent="0.35">
      <c r="A231" s="1">
        <v>645</v>
      </c>
      <c r="B231" s="4">
        <v>1.2972400220780678</v>
      </c>
      <c r="C231" s="5">
        <v>63.737304345284294</v>
      </c>
      <c r="D231" s="4">
        <v>1.6241973059225863</v>
      </c>
    </row>
    <row r="232" spans="1:4" ht="14.25" customHeight="1" x14ac:dyDescent="0.35">
      <c r="A232" s="1">
        <v>648</v>
      </c>
      <c r="B232" s="4">
        <v>2.6131679459326316</v>
      </c>
      <c r="C232" s="5">
        <v>57.86929089629249</v>
      </c>
      <c r="D232" s="4">
        <v>2.3722991685548656</v>
      </c>
    </row>
    <row r="233" spans="1:4" ht="14.25" customHeight="1" x14ac:dyDescent="0.35">
      <c r="A233" s="1">
        <v>649</v>
      </c>
      <c r="B233" s="4">
        <v>0.68871750558282541</v>
      </c>
      <c r="C233" s="5">
        <v>45.488672607625766</v>
      </c>
      <c r="D233" s="4">
        <v>2.5061875354610734</v>
      </c>
    </row>
    <row r="234" spans="1:4" ht="14.25" customHeight="1" x14ac:dyDescent="0.35">
      <c r="A234" s="1">
        <v>651</v>
      </c>
      <c r="B234" s="4">
        <v>4.4233048154916244</v>
      </c>
      <c r="C234" s="5">
        <v>45.662641339681144</v>
      </c>
      <c r="D234" s="4">
        <v>2.5845324024900549</v>
      </c>
    </row>
    <row r="235" spans="1:4" ht="14.25" customHeight="1" x14ac:dyDescent="0.35">
      <c r="A235" s="1">
        <v>655</v>
      </c>
      <c r="B235" s="4">
        <v>2.8162687031453326</v>
      </c>
      <c r="C235" s="5">
        <v>72.832155579275053</v>
      </c>
      <c r="D235" s="4">
        <v>2.3391197770865815</v>
      </c>
    </row>
    <row r="236" spans="1:4" ht="14.25" customHeight="1" x14ac:dyDescent="0.35">
      <c r="A236" s="1">
        <v>656</v>
      </c>
      <c r="B236" s="4">
        <v>2.7117146779412584</v>
      </c>
      <c r="C236" s="5">
        <v>49.90426920645212</v>
      </c>
      <c r="D236" s="4">
        <v>2.3179198680168245</v>
      </c>
    </row>
    <row r="237" spans="1:4" ht="14.25" customHeight="1" x14ac:dyDescent="0.35">
      <c r="A237" s="1">
        <v>658</v>
      </c>
      <c r="B237" s="4">
        <v>2.334506453224753</v>
      </c>
      <c r="C237" s="5">
        <v>39.237940108571877</v>
      </c>
      <c r="D237" s="4">
        <v>1.3135538257736477</v>
      </c>
    </row>
    <row r="238" spans="1:4" ht="14.25" customHeight="1" x14ac:dyDescent="0.35">
      <c r="A238" s="1">
        <v>660</v>
      </c>
      <c r="B238" s="4">
        <v>3.8837953812258821</v>
      </c>
      <c r="C238" s="5">
        <v>0.94528438426614292</v>
      </c>
      <c r="D238" s="4">
        <v>0.58399869740730492</v>
      </c>
    </row>
    <row r="239" spans="1:4" ht="14.25" customHeight="1" x14ac:dyDescent="0.35">
      <c r="A239" s="1">
        <v>664</v>
      </c>
      <c r="B239" s="4">
        <v>3.0188261566051757</v>
      </c>
      <c r="C239" s="5">
        <v>75.737083959413738</v>
      </c>
      <c r="D239" s="4">
        <v>0.74962039381158352</v>
      </c>
    </row>
    <row r="240" spans="1:4" ht="14.25" customHeight="1" x14ac:dyDescent="0.35">
      <c r="A240" s="1">
        <v>666</v>
      </c>
      <c r="B240" s="4">
        <v>4.820234794182813</v>
      </c>
      <c r="C240" s="5">
        <v>4.6288503330777058</v>
      </c>
      <c r="D240" s="4">
        <v>0.4424648313981121</v>
      </c>
    </row>
    <row r="241" spans="1:4" ht="14.25" customHeight="1" x14ac:dyDescent="0.35">
      <c r="A241" s="1">
        <v>671</v>
      </c>
      <c r="B241" s="4">
        <v>3.7566641688152158</v>
      </c>
      <c r="C241" s="5">
        <v>44.515361427733424</v>
      </c>
      <c r="D241" s="4">
        <v>2.2960215203133711</v>
      </c>
    </row>
    <row r="242" spans="1:4" ht="14.25" customHeight="1" x14ac:dyDescent="0.35">
      <c r="A242" s="1">
        <v>672</v>
      </c>
      <c r="B242" s="4">
        <v>2.8647528313665784</v>
      </c>
      <c r="C242" s="5">
        <v>7.8910227000544069</v>
      </c>
      <c r="D242" s="4">
        <v>0.51807171740766522</v>
      </c>
    </row>
    <row r="243" spans="1:4" ht="14.25" customHeight="1" x14ac:dyDescent="0.35">
      <c r="A243" s="1">
        <v>673</v>
      </c>
      <c r="B243" s="4">
        <v>3.1670365844159507</v>
      </c>
      <c r="C243" s="5">
        <v>21.377246885523416</v>
      </c>
      <c r="D243" s="4">
        <v>0.70046466229124305</v>
      </c>
    </row>
    <row r="244" spans="1:4" ht="14.25" customHeight="1" x14ac:dyDescent="0.35">
      <c r="A244" s="1">
        <v>676</v>
      </c>
      <c r="B244" s="4">
        <v>8.336932961903079</v>
      </c>
      <c r="C244" s="5">
        <v>6.3872650819654542</v>
      </c>
      <c r="D244" s="4">
        <v>2.2911526150144899</v>
      </c>
    </row>
    <row r="245" spans="1:4" ht="14.25" customHeight="1" x14ac:dyDescent="0.35">
      <c r="A245" s="1">
        <v>680</v>
      </c>
      <c r="B245" s="4">
        <v>1.4747400412709999</v>
      </c>
      <c r="C245" s="5">
        <v>44.543248033680769</v>
      </c>
      <c r="D245" s="4">
        <v>0.87520140195711849</v>
      </c>
    </row>
    <row r="246" spans="1:4" ht="14.25" customHeight="1" x14ac:dyDescent="0.35">
      <c r="A246" s="1">
        <v>684</v>
      </c>
      <c r="B246" s="4">
        <v>7.1141737071219975</v>
      </c>
      <c r="C246" s="5">
        <v>68.710833701690262</v>
      </c>
      <c r="D246" s="4">
        <v>3.0868650913824767</v>
      </c>
    </row>
    <row r="247" spans="1:4" ht="14.25" customHeight="1" x14ac:dyDescent="0.35">
      <c r="A247" s="1">
        <v>685</v>
      </c>
      <c r="B247" s="4">
        <v>6.3549319708390017</v>
      </c>
      <c r="C247" s="5">
        <v>5.5178734245572514</v>
      </c>
      <c r="D247" s="4">
        <v>0.39773463445090063</v>
      </c>
    </row>
    <row r="248" spans="1:4" ht="14.25" customHeight="1" x14ac:dyDescent="0.35">
      <c r="A248" s="1">
        <v>688</v>
      </c>
      <c r="B248" s="4">
        <v>8.1679263733362717</v>
      </c>
      <c r="C248" s="5">
        <v>6.1620639586377539</v>
      </c>
      <c r="D248" s="4">
        <v>1.9064284298780265</v>
      </c>
    </row>
    <row r="249" spans="1:4" ht="14.25" customHeight="1" x14ac:dyDescent="0.35">
      <c r="A249" s="1">
        <v>689</v>
      </c>
      <c r="B249" s="4">
        <v>2.7161772713823771</v>
      </c>
      <c r="C249" s="5">
        <v>64.22142235538017</v>
      </c>
      <c r="D249" s="4">
        <v>0.88413471951982647</v>
      </c>
    </row>
    <row r="250" spans="1:4" ht="14.25" customHeight="1" x14ac:dyDescent="0.35">
      <c r="A250" s="1">
        <v>693</v>
      </c>
      <c r="B250" s="4">
        <v>2.9255186929531085</v>
      </c>
      <c r="C250" s="5">
        <v>53.087297456661162</v>
      </c>
      <c r="D250" s="4">
        <v>2.5814909006531979</v>
      </c>
    </row>
    <row r="251" spans="1:4" ht="14.25" customHeight="1" x14ac:dyDescent="0.35">
      <c r="A251" s="1">
        <v>694</v>
      </c>
      <c r="B251" s="4">
        <v>4.4021299494481658</v>
      </c>
      <c r="C251" s="5">
        <v>0.77570718048357579</v>
      </c>
      <c r="D251" s="4">
        <v>1.2827961635220351</v>
      </c>
    </row>
    <row r="252" spans="1:4" ht="14.25" customHeight="1" x14ac:dyDescent="0.35">
      <c r="A252" s="1">
        <v>696</v>
      </c>
      <c r="B252" s="4">
        <v>1.1412266513580283</v>
      </c>
      <c r="C252" s="5">
        <v>52.487311847826554</v>
      </c>
      <c r="D252" s="4">
        <v>1.2724100865354881</v>
      </c>
    </row>
    <row r="253" spans="1:4" ht="14.25" customHeight="1" x14ac:dyDescent="0.35">
      <c r="A253" s="1">
        <v>697</v>
      </c>
      <c r="B253" s="4">
        <v>9.5989039155543345</v>
      </c>
      <c r="C253" s="5">
        <v>0.17494846771503036</v>
      </c>
      <c r="D253" s="4">
        <v>2.6995400017259548</v>
      </c>
    </row>
    <row r="254" spans="1:4" ht="14.25" customHeight="1" x14ac:dyDescent="0.35">
      <c r="A254" s="1">
        <v>699</v>
      </c>
      <c r="B254" s="4">
        <v>1.6246667550754856</v>
      </c>
      <c r="C254" s="5">
        <v>5.280976264994508</v>
      </c>
      <c r="D254" s="4">
        <v>1.1087132762950658</v>
      </c>
    </row>
    <row r="255" spans="1:4" ht="14.25" customHeight="1" x14ac:dyDescent="0.35">
      <c r="A255" s="1">
        <v>707</v>
      </c>
      <c r="B255" s="4">
        <v>0.42070180467416507</v>
      </c>
      <c r="C255" s="5">
        <v>90.364466751957792</v>
      </c>
      <c r="D255" s="4">
        <v>0.68573498692666646</v>
      </c>
    </row>
    <row r="256" spans="1:4" ht="14.25" customHeight="1" x14ac:dyDescent="0.35">
      <c r="A256" s="1">
        <v>711</v>
      </c>
      <c r="B256" s="4">
        <v>9.8150844063647096</v>
      </c>
      <c r="C256" s="5">
        <v>2.1164708274342026</v>
      </c>
      <c r="D256" s="4">
        <v>2.3448280124609453</v>
      </c>
    </row>
    <row r="257" spans="1:4" ht="14.25" customHeight="1" x14ac:dyDescent="0.35">
      <c r="A257" s="1">
        <v>712</v>
      </c>
      <c r="B257" s="4">
        <v>2.8413064697717907</v>
      </c>
      <c r="C257" s="5">
        <v>41.017372640113578</v>
      </c>
      <c r="D257" s="4">
        <v>0.98403739444487459</v>
      </c>
    </row>
    <row r="258" spans="1:4" ht="14.25" customHeight="1" x14ac:dyDescent="0.35">
      <c r="A258" s="1">
        <v>715</v>
      </c>
      <c r="B258" s="4">
        <v>3.2865315631582579</v>
      </c>
      <c r="C258" s="5">
        <v>70.207863196955302</v>
      </c>
      <c r="D258" s="4">
        <v>1.4070342538151359</v>
      </c>
    </row>
    <row r="259" spans="1:4" ht="14.25" customHeight="1" x14ac:dyDescent="0.35">
      <c r="A259" s="1">
        <v>718</v>
      </c>
      <c r="B259" s="4">
        <v>0.60515355112073177</v>
      </c>
      <c r="C259" s="5">
        <v>95.090251889881486</v>
      </c>
      <c r="D259" s="4">
        <v>0.65090810987158321</v>
      </c>
    </row>
    <row r="260" spans="1:4" ht="14.25" customHeight="1" x14ac:dyDescent="0.35">
      <c r="A260" s="1">
        <v>719</v>
      </c>
      <c r="B260" s="4">
        <v>3.127348736843365</v>
      </c>
      <c r="C260" s="5">
        <v>56.383015412837544</v>
      </c>
      <c r="D260" s="4">
        <v>2.5667504424405436</v>
      </c>
    </row>
    <row r="261" spans="1:4" ht="14.25" customHeight="1" x14ac:dyDescent="0.35">
      <c r="A261" s="1">
        <v>723</v>
      </c>
      <c r="B261" s="4">
        <v>3.2634114782301382</v>
      </c>
      <c r="C261" s="5">
        <v>82.425268446051433</v>
      </c>
      <c r="D261" s="4">
        <v>0.53737840539109127</v>
      </c>
    </row>
    <row r="262" spans="1:4" ht="14.25" customHeight="1" x14ac:dyDescent="0.35">
      <c r="A262" s="1">
        <v>727</v>
      </c>
      <c r="B262" s="4">
        <v>7.578015698568354</v>
      </c>
      <c r="C262" s="5">
        <v>1.0280641948749114</v>
      </c>
      <c r="D262" s="4">
        <v>1.9015549906132416</v>
      </c>
    </row>
    <row r="263" spans="1:4" ht="14.25" customHeight="1" x14ac:dyDescent="0.35">
      <c r="A263" s="1">
        <v>728</v>
      </c>
      <c r="B263" s="4">
        <v>2.307131021340326</v>
      </c>
      <c r="C263" s="5">
        <v>18.141896910723109</v>
      </c>
      <c r="D263" s="4">
        <v>2.7165007260328471</v>
      </c>
    </row>
    <row r="264" spans="1:4" ht="14.25" customHeight="1" x14ac:dyDescent="0.35">
      <c r="A264" s="1">
        <v>732</v>
      </c>
      <c r="B264" s="4">
        <v>7.9488399781019332</v>
      </c>
      <c r="C264" s="5">
        <v>5.0248851148491314</v>
      </c>
      <c r="D264" s="4">
        <v>2.8725405561718897</v>
      </c>
    </row>
    <row r="265" spans="1:4" ht="14.25" customHeight="1" x14ac:dyDescent="0.35">
      <c r="A265" s="1">
        <v>742</v>
      </c>
      <c r="B265" s="4">
        <v>2.1823003598291999</v>
      </c>
      <c r="C265" s="5">
        <v>30.954761397170969</v>
      </c>
      <c r="D265" s="4">
        <v>0.60665800017133842</v>
      </c>
    </row>
    <row r="266" spans="1:4" ht="14.25" customHeight="1" x14ac:dyDescent="0.35">
      <c r="A266" s="1">
        <v>749</v>
      </c>
      <c r="B266" s="4">
        <v>9.2350666078819597</v>
      </c>
      <c r="C266" s="5">
        <v>13.692907235795282</v>
      </c>
      <c r="D266" s="4">
        <v>3.1088447550817278</v>
      </c>
    </row>
    <row r="267" spans="1:4" ht="14.25" customHeight="1" x14ac:dyDescent="0.35">
      <c r="A267" s="1">
        <v>750</v>
      </c>
      <c r="B267" s="4">
        <v>1.7476280176606451</v>
      </c>
      <c r="C267" s="5">
        <v>77.943863161360213</v>
      </c>
      <c r="D267" s="4">
        <v>0.94471276115091352</v>
      </c>
    </row>
    <row r="268" spans="1:4" ht="14.25" customHeight="1" x14ac:dyDescent="0.35">
      <c r="A268" s="1">
        <v>751</v>
      </c>
      <c r="B268" s="4">
        <v>2.9625074568140408</v>
      </c>
      <c r="C268" s="5">
        <v>73.380798690737606</v>
      </c>
      <c r="D268" s="4">
        <v>2.6874392284978219</v>
      </c>
    </row>
    <row r="269" spans="1:4" ht="14.25" customHeight="1" x14ac:dyDescent="0.35">
      <c r="A269" s="1">
        <v>753</v>
      </c>
      <c r="B269" s="4">
        <v>2.1333462381685466</v>
      </c>
      <c r="C269" s="5">
        <v>27.910409772967682</v>
      </c>
      <c r="D269" s="4">
        <v>1.707829097730285</v>
      </c>
    </row>
    <row r="270" spans="1:4" ht="14.25" customHeight="1" x14ac:dyDescent="0.35">
      <c r="A270" s="1">
        <v>755</v>
      </c>
      <c r="B270" s="4">
        <v>0.53430713571528288</v>
      </c>
      <c r="C270" s="5">
        <v>88.099969932523493</v>
      </c>
      <c r="D270" s="4">
        <v>1.2079509469533682</v>
      </c>
    </row>
    <row r="271" spans="1:4" ht="14.25" customHeight="1" x14ac:dyDescent="0.35">
      <c r="A271" s="1">
        <v>757</v>
      </c>
      <c r="B271" s="4">
        <v>2.5456532643571594</v>
      </c>
      <c r="C271" s="5">
        <v>29.709814670131951</v>
      </c>
      <c r="D271" s="4">
        <v>1.1009089778132859</v>
      </c>
    </row>
    <row r="272" spans="1:4" ht="14.25" customHeight="1" x14ac:dyDescent="0.35">
      <c r="A272" s="1">
        <v>760</v>
      </c>
      <c r="B272" s="4">
        <v>1.6634532033342386</v>
      </c>
      <c r="C272" s="5">
        <v>71.296383545382341</v>
      </c>
      <c r="D272" s="4">
        <v>0.54503932587193649</v>
      </c>
    </row>
    <row r="273" spans="1:4" ht="14.25" customHeight="1" x14ac:dyDescent="0.35">
      <c r="A273" s="1">
        <v>762</v>
      </c>
      <c r="B273" s="4">
        <v>0.45024089787638277</v>
      </c>
      <c r="C273" s="5">
        <v>99.337194752892017</v>
      </c>
      <c r="D273" s="4">
        <v>1.2038968510307821</v>
      </c>
    </row>
    <row r="274" spans="1:4" ht="14.25" customHeight="1" x14ac:dyDescent="0.35">
      <c r="A274" s="1">
        <v>764</v>
      </c>
      <c r="B274" s="4">
        <v>1.5783199717317542</v>
      </c>
      <c r="C274" s="5">
        <v>17.506582498632739</v>
      </c>
      <c r="D274" s="4">
        <v>2.5632411608715255</v>
      </c>
    </row>
    <row r="275" spans="1:4" ht="14.25" customHeight="1" x14ac:dyDescent="0.35">
      <c r="A275" s="1">
        <v>766</v>
      </c>
      <c r="B275" s="4">
        <v>1.0911776982561749</v>
      </c>
      <c r="C275" s="5">
        <v>94.268184033534979</v>
      </c>
      <c r="D275" s="4">
        <v>0.89277196797294156</v>
      </c>
    </row>
    <row r="276" spans="1:4" ht="14.25" customHeight="1" x14ac:dyDescent="0.35">
      <c r="A276" s="1">
        <v>768</v>
      </c>
      <c r="B276" s="4">
        <v>5.2032934259225296</v>
      </c>
      <c r="C276" s="5">
        <v>6.10745718760014</v>
      </c>
      <c r="D276" s="4">
        <v>1.415449584996018</v>
      </c>
    </row>
    <row r="277" spans="1:4" ht="14.25" customHeight="1" x14ac:dyDescent="0.35">
      <c r="A277" s="1">
        <v>770</v>
      </c>
      <c r="B277" s="4">
        <v>8.3897178910121344</v>
      </c>
      <c r="C277" s="5">
        <v>43.774260615812047</v>
      </c>
      <c r="D277" s="4">
        <v>2.9818064884083837</v>
      </c>
    </row>
    <row r="278" spans="1:4" ht="14.25" customHeight="1" x14ac:dyDescent="0.35">
      <c r="A278" s="1">
        <v>773</v>
      </c>
      <c r="B278" s="4">
        <v>1.9363917638227557</v>
      </c>
      <c r="C278" s="5">
        <v>90.929689743552643</v>
      </c>
      <c r="D278" s="4">
        <v>3.0687322626052684</v>
      </c>
    </row>
    <row r="279" spans="1:4" ht="14.25" customHeight="1" x14ac:dyDescent="0.35">
      <c r="A279" s="1">
        <v>774</v>
      </c>
      <c r="B279" s="4">
        <v>0.80469247439743818</v>
      </c>
      <c r="C279" s="5">
        <v>30.107002860584998</v>
      </c>
      <c r="D279" s="4">
        <v>2.4069120957504273</v>
      </c>
    </row>
    <row r="280" spans="1:4" ht="14.25" customHeight="1" x14ac:dyDescent="0.35">
      <c r="A280" s="1">
        <v>777</v>
      </c>
      <c r="B280" s="4">
        <v>2.671789963568163</v>
      </c>
      <c r="C280" s="5">
        <v>79.960129684216227</v>
      </c>
      <c r="D280" s="4">
        <v>0.54849940582999301</v>
      </c>
    </row>
    <row r="281" spans="1:4" ht="14.25" customHeight="1" x14ac:dyDescent="0.35">
      <c r="A281" s="1">
        <v>786</v>
      </c>
      <c r="B281" s="4">
        <v>3.5056946362520494</v>
      </c>
      <c r="C281" s="5">
        <v>18.906349871770967</v>
      </c>
      <c r="D281" s="4">
        <v>2.4877881986111685</v>
      </c>
    </row>
    <row r="282" spans="1:4" ht="14.25" customHeight="1" x14ac:dyDescent="0.35">
      <c r="A282" s="1">
        <v>787</v>
      </c>
      <c r="B282" s="4">
        <v>2.1268036754128983</v>
      </c>
      <c r="C282" s="5">
        <v>28.766179046809803</v>
      </c>
      <c r="D282" s="4">
        <v>0.95897253261019488</v>
      </c>
    </row>
    <row r="283" spans="1:4" ht="14.25" customHeight="1" x14ac:dyDescent="0.35">
      <c r="A283" s="1">
        <v>788</v>
      </c>
      <c r="B283" s="4">
        <v>4.893131422273143</v>
      </c>
      <c r="C283" s="5">
        <v>43.657814025147538</v>
      </c>
      <c r="D283" s="4">
        <v>2.8002580147692711</v>
      </c>
    </row>
    <row r="284" spans="1:4" ht="14.25" customHeight="1" x14ac:dyDescent="0.35">
      <c r="A284" s="1">
        <v>789</v>
      </c>
      <c r="B284" s="4">
        <v>6.8997489776993319</v>
      </c>
      <c r="C284" s="5">
        <v>83.706402986583441</v>
      </c>
      <c r="D284" s="4">
        <v>2.9889930302416086</v>
      </c>
    </row>
    <row r="285" spans="1:4" ht="14.25" customHeight="1" x14ac:dyDescent="0.35">
      <c r="A285" s="1">
        <v>790</v>
      </c>
      <c r="B285" s="4">
        <v>7.8201937950803906</v>
      </c>
      <c r="C285" s="5">
        <v>3.3189732381488923E-2</v>
      </c>
      <c r="D285" s="4">
        <v>1.8528444424142394</v>
      </c>
    </row>
    <row r="286" spans="1:4" ht="14.25" customHeight="1" x14ac:dyDescent="0.35">
      <c r="A286" s="1">
        <v>792</v>
      </c>
      <c r="B286" s="4">
        <v>1.9455501288699617</v>
      </c>
      <c r="C286" s="5">
        <v>30.118933426433959</v>
      </c>
      <c r="D286" s="4">
        <v>0.82733077020566925</v>
      </c>
    </row>
    <row r="287" spans="1:4" ht="14.25" customHeight="1" x14ac:dyDescent="0.35">
      <c r="A287" s="1">
        <v>793</v>
      </c>
      <c r="B287" s="4">
        <v>1.5306598931066917</v>
      </c>
      <c r="C287" s="5">
        <v>36.458708658394613</v>
      </c>
      <c r="D287" s="4">
        <v>2.971260981672204</v>
      </c>
    </row>
    <row r="288" spans="1:4" ht="14.25" customHeight="1" x14ac:dyDescent="0.35">
      <c r="A288" s="1">
        <v>794</v>
      </c>
      <c r="B288" s="4">
        <v>2.9754537887153854</v>
      </c>
      <c r="C288" s="5">
        <v>65.072464336999531</v>
      </c>
      <c r="D288" s="4">
        <v>2.6135312750305504</v>
      </c>
    </row>
    <row r="289" spans="1:8" ht="14.25" customHeight="1" x14ac:dyDescent="0.35">
      <c r="A289" s="1">
        <v>796</v>
      </c>
      <c r="B289" s="4">
        <v>1.8426413365189798</v>
      </c>
      <c r="C289" s="5">
        <v>88.953729975202123</v>
      </c>
      <c r="D289" s="4">
        <v>0.87201116677975232</v>
      </c>
    </row>
    <row r="290" spans="1:8" ht="14.25" customHeight="1" x14ac:dyDescent="0.35">
      <c r="A290" s="1">
        <v>798</v>
      </c>
      <c r="B290" s="4">
        <v>7.5990387083278135</v>
      </c>
      <c r="C290" s="5">
        <v>6.1137161024262472</v>
      </c>
      <c r="D290" s="4">
        <v>2.0497100425392829</v>
      </c>
    </row>
    <row r="291" spans="1:8" ht="14.25" customHeight="1" x14ac:dyDescent="0.35">
      <c r="A291" s="1">
        <v>800</v>
      </c>
      <c r="B291" s="4">
        <v>9.3310756405959623</v>
      </c>
      <c r="C291" s="5">
        <v>20.764741698943944</v>
      </c>
      <c r="D291" s="4">
        <v>2.7507504863901571</v>
      </c>
    </row>
    <row r="292" spans="1:8" ht="14.25" customHeight="1" x14ac:dyDescent="0.35">
      <c r="A292" s="1">
        <v>802</v>
      </c>
      <c r="B292" s="4">
        <v>7.1043214039770586</v>
      </c>
      <c r="C292" s="5">
        <v>0.39843641945495056</v>
      </c>
      <c r="D292" s="4">
        <v>1.3545336572317539</v>
      </c>
    </row>
    <row r="293" spans="1:8" ht="14.25" customHeight="1" x14ac:dyDescent="0.35">
      <c r="A293" s="1">
        <v>804</v>
      </c>
      <c r="B293" s="4">
        <v>1.3612456493786462</v>
      </c>
      <c r="C293" s="5">
        <v>35.171270843974213</v>
      </c>
      <c r="D293" s="4">
        <v>1.4550456501057536</v>
      </c>
    </row>
    <row r="294" spans="1:8" ht="14.25" customHeight="1" x14ac:dyDescent="0.35">
      <c r="A294" s="1">
        <v>805</v>
      </c>
      <c r="B294" s="4">
        <v>1.7599411510963692</v>
      </c>
      <c r="C294" s="5">
        <v>63.93822553659431</v>
      </c>
      <c r="D294" s="4">
        <v>1.1781907304624772</v>
      </c>
    </row>
    <row r="295" spans="1:8" ht="14.25" customHeight="1" x14ac:dyDescent="0.35">
      <c r="A295" s="1">
        <v>807</v>
      </c>
      <c r="B295" s="4">
        <v>1.9039518524618415</v>
      </c>
      <c r="C295" s="5">
        <v>21.780731885231898</v>
      </c>
      <c r="D295" s="4">
        <v>1.0437236681307391</v>
      </c>
    </row>
    <row r="296" spans="1:8" ht="14.25" customHeight="1" x14ac:dyDescent="0.35">
      <c r="A296" s="1">
        <v>811</v>
      </c>
      <c r="B296" s="4">
        <v>5.8606499311598288</v>
      </c>
      <c r="C296" s="5">
        <v>31.839208794716011</v>
      </c>
      <c r="D296" s="4">
        <v>3.0826926916543917</v>
      </c>
    </row>
    <row r="297" spans="1:8" ht="14.25" customHeight="1" x14ac:dyDescent="0.35">
      <c r="A297" s="1">
        <v>813</v>
      </c>
      <c r="B297" s="4">
        <v>8.4164408858275017</v>
      </c>
      <c r="C297" s="5">
        <v>3.2269572748211961</v>
      </c>
      <c r="D297" s="4">
        <v>2.4441506331969185</v>
      </c>
    </row>
    <row r="298" spans="1:8" ht="14.25" customHeight="1" x14ac:dyDescent="0.35">
      <c r="A298" s="1">
        <v>814</v>
      </c>
      <c r="B298" s="4">
        <v>3.9148214703914741</v>
      </c>
      <c r="C298" s="5">
        <v>84.90455163960047</v>
      </c>
      <c r="D298" s="4">
        <v>2.5235076043894962</v>
      </c>
    </row>
    <row r="299" spans="1:8" ht="14.25" customHeight="1" x14ac:dyDescent="0.35">
      <c r="A299" s="1">
        <v>820</v>
      </c>
      <c r="B299" s="4">
        <v>2.8667342608148338</v>
      </c>
      <c r="C299" s="5">
        <v>93.1599478171469</v>
      </c>
      <c r="D299" s="4">
        <v>0.40648714014498344</v>
      </c>
    </row>
    <row r="300" spans="1:8" ht="14.25" customHeight="1" x14ac:dyDescent="0.35">
      <c r="A300" s="1">
        <v>821</v>
      </c>
      <c r="B300" s="4">
        <v>2.0467901820589676</v>
      </c>
      <c r="C300" s="5">
        <v>6.9242576765975787</v>
      </c>
      <c r="D300" s="4">
        <v>2.2294676822866899</v>
      </c>
    </row>
    <row r="301" spans="1:8" ht="14.25" customHeight="1" x14ac:dyDescent="0.35">
      <c r="A301" s="1">
        <v>822</v>
      </c>
      <c r="B301" s="4">
        <v>2.8091609471460375</v>
      </c>
      <c r="C301" s="5">
        <v>48.035789616350257</v>
      </c>
      <c r="D301" s="4">
        <v>2.6768555448029465</v>
      </c>
      <c r="H301" s="1" t="s">
        <v>45</v>
      </c>
    </row>
    <row r="302" spans="1:8" ht="14.25" customHeight="1" x14ac:dyDescent="0.35">
      <c r="A302" s="1">
        <v>832</v>
      </c>
      <c r="B302" s="4">
        <v>2.5123292766081216</v>
      </c>
      <c r="C302" s="5">
        <v>79.466066822644891</v>
      </c>
      <c r="D302" s="4">
        <v>2.5387498378529934</v>
      </c>
    </row>
    <row r="303" spans="1:8" ht="14.25" customHeight="1" x14ac:dyDescent="0.35">
      <c r="A303" s="1">
        <v>834</v>
      </c>
      <c r="B303" s="4">
        <v>4.6737245424359468</v>
      </c>
      <c r="C303" s="5">
        <v>8.1269681121061144</v>
      </c>
      <c r="D303" s="4">
        <v>0.76860816520052244</v>
      </c>
    </row>
    <row r="304" spans="1:8" ht="14.25" customHeight="1" x14ac:dyDescent="0.35">
      <c r="A304" s="1">
        <v>836</v>
      </c>
      <c r="B304" s="4">
        <v>8.2176486062281029</v>
      </c>
      <c r="C304" s="5">
        <v>0.17799302280316898</v>
      </c>
      <c r="D304" s="4">
        <v>1.7590900459121823</v>
      </c>
    </row>
    <row r="305" spans="1:4" ht="14.25" customHeight="1" x14ac:dyDescent="0.35">
      <c r="A305" s="1">
        <v>839</v>
      </c>
      <c r="B305" s="4">
        <v>6.4512495725591688</v>
      </c>
      <c r="C305" s="5">
        <v>93.645423896480381</v>
      </c>
      <c r="D305" s="4">
        <v>3.1780736798421731</v>
      </c>
    </row>
    <row r="306" spans="1:4" ht="14.25" customHeight="1" x14ac:dyDescent="0.35">
      <c r="A306" s="1">
        <v>840</v>
      </c>
      <c r="B306" s="4">
        <v>7.3690581900459593</v>
      </c>
      <c r="C306" s="5">
        <v>63.626479588360816</v>
      </c>
      <c r="D306" s="4">
        <v>2.7627054276567025</v>
      </c>
    </row>
    <row r="307" spans="1:4" ht="14.25" customHeight="1" x14ac:dyDescent="0.35">
      <c r="A307" s="1">
        <v>841</v>
      </c>
      <c r="B307" s="4">
        <v>9.5877300941731534</v>
      </c>
      <c r="C307" s="5">
        <v>5.5540555491838113</v>
      </c>
      <c r="D307" s="4">
        <v>2.8719824769025029</v>
      </c>
    </row>
    <row r="308" spans="1:4" ht="14.25" customHeight="1" x14ac:dyDescent="0.35">
      <c r="A308" s="1">
        <v>842</v>
      </c>
      <c r="B308" s="4">
        <v>2.538891127769892</v>
      </c>
      <c r="C308" s="5">
        <v>48.645523075824016</v>
      </c>
      <c r="D308" s="4">
        <v>2.0429833194461549</v>
      </c>
    </row>
    <row r="309" spans="1:4" ht="14.25" customHeight="1" x14ac:dyDescent="0.35">
      <c r="A309" s="1">
        <v>843</v>
      </c>
      <c r="B309" s="4">
        <v>9.9480693686482233</v>
      </c>
      <c r="C309" s="5">
        <v>73.320392656264048</v>
      </c>
      <c r="D309" s="4">
        <v>3.0444966850209774</v>
      </c>
    </row>
    <row r="310" spans="1:4" ht="14.25" customHeight="1" x14ac:dyDescent="0.35">
      <c r="A310" s="1">
        <v>844</v>
      </c>
      <c r="B310" s="4">
        <v>9.6367160636279543</v>
      </c>
      <c r="C310" s="5">
        <v>72.496155008194023</v>
      </c>
      <c r="D310" s="4">
        <v>3.0380340398579562</v>
      </c>
    </row>
    <row r="311" spans="1:4" ht="14.25" customHeight="1" x14ac:dyDescent="0.35">
      <c r="A311" s="1">
        <v>847</v>
      </c>
      <c r="B311" s="4">
        <v>4.3970957259501677</v>
      </c>
      <c r="C311" s="5">
        <v>24.6588101810292</v>
      </c>
      <c r="D311" s="4">
        <v>2.2621856969762439</v>
      </c>
    </row>
    <row r="312" spans="1:4" ht="14.25" customHeight="1" x14ac:dyDescent="0.35">
      <c r="A312" s="1">
        <v>850</v>
      </c>
      <c r="B312" s="4">
        <v>4.0757995580193445</v>
      </c>
      <c r="C312" s="5">
        <v>59.347643989919504</v>
      </c>
      <c r="D312" s="4">
        <v>2.9846122570688705</v>
      </c>
    </row>
    <row r="313" spans="1:4" ht="14.25" customHeight="1" x14ac:dyDescent="0.35">
      <c r="A313" s="1">
        <v>853</v>
      </c>
      <c r="B313" s="4">
        <v>7.0539311336542854</v>
      </c>
      <c r="C313" s="5">
        <v>5.3315748519488508</v>
      </c>
      <c r="D313" s="4">
        <v>1.9167112653606846</v>
      </c>
    </row>
    <row r="314" spans="1:4" ht="14.25" customHeight="1" x14ac:dyDescent="0.35">
      <c r="A314" s="1">
        <v>854</v>
      </c>
      <c r="B314" s="4">
        <v>2.943799591398677</v>
      </c>
      <c r="C314" s="5">
        <v>74.041542528679798</v>
      </c>
      <c r="D314" s="4">
        <v>0.79966642486193384</v>
      </c>
    </row>
    <row r="315" spans="1:4" ht="14.25" customHeight="1" x14ac:dyDescent="0.35">
      <c r="A315" s="1">
        <v>857</v>
      </c>
      <c r="B315" s="4">
        <v>7.5733691751827648</v>
      </c>
      <c r="C315" s="5">
        <v>4.8066627218295572</v>
      </c>
      <c r="D315" s="4">
        <v>2.9252380773878981</v>
      </c>
    </row>
    <row r="316" spans="1:4" ht="14.25" customHeight="1" x14ac:dyDescent="0.35">
      <c r="A316" s="1">
        <v>860</v>
      </c>
      <c r="B316" s="4">
        <v>7.1784982531228199</v>
      </c>
      <c r="C316" s="5">
        <v>4.8610607958877727</v>
      </c>
      <c r="D316" s="4">
        <v>2.4822919460870021</v>
      </c>
    </row>
    <row r="317" spans="1:4" ht="14.25" customHeight="1" x14ac:dyDescent="0.35">
      <c r="A317" s="1">
        <v>865</v>
      </c>
      <c r="B317" s="4">
        <v>1.1825119775638515</v>
      </c>
      <c r="C317" s="5">
        <v>61.001663362472414</v>
      </c>
      <c r="D317" s="4">
        <v>2.4604800800746749</v>
      </c>
    </row>
    <row r="318" spans="1:4" ht="14.25" customHeight="1" x14ac:dyDescent="0.35">
      <c r="A318" s="1">
        <v>866</v>
      </c>
      <c r="B318" s="4">
        <v>2.6350399785298926</v>
      </c>
      <c r="C318" s="5">
        <v>85.066456875315552</v>
      </c>
      <c r="D318" s="4">
        <v>1.3373020077115685</v>
      </c>
    </row>
    <row r="319" spans="1:4" ht="14.25" customHeight="1" x14ac:dyDescent="0.35">
      <c r="A319" s="1">
        <v>869</v>
      </c>
      <c r="B319" s="4">
        <v>5.7529976006271921</v>
      </c>
      <c r="C319" s="5">
        <v>52.730306374635362</v>
      </c>
      <c r="D319" s="4">
        <v>2.93359037579265</v>
      </c>
    </row>
    <row r="320" spans="1:4" ht="14.25" customHeight="1" x14ac:dyDescent="0.35">
      <c r="A320" s="1">
        <v>870</v>
      </c>
      <c r="B320" s="4">
        <v>2.8777593324401196</v>
      </c>
      <c r="C320" s="5">
        <v>4.1728791551684186</v>
      </c>
      <c r="D320" s="4">
        <v>1.9891607634022033</v>
      </c>
    </row>
    <row r="321" spans="1:4" ht="14.25" customHeight="1" x14ac:dyDescent="0.35">
      <c r="A321" s="1">
        <v>872</v>
      </c>
      <c r="B321" s="4">
        <v>5.8911859065317298</v>
      </c>
      <c r="C321" s="5">
        <v>0.32542690615354752</v>
      </c>
      <c r="D321" s="4">
        <v>0.92378802779970148</v>
      </c>
    </row>
    <row r="322" spans="1:4" ht="14.25" customHeight="1" x14ac:dyDescent="0.35">
      <c r="A322" s="1">
        <v>877</v>
      </c>
      <c r="B322" s="4">
        <v>1.9237352009658093</v>
      </c>
      <c r="C322" s="5">
        <v>58.167592001499656</v>
      </c>
      <c r="D322" s="4">
        <v>2.4807927777424479</v>
      </c>
    </row>
    <row r="323" spans="1:4" ht="14.25" customHeight="1" x14ac:dyDescent="0.35">
      <c r="A323" s="1">
        <v>881</v>
      </c>
      <c r="B323" s="4">
        <v>2.0578832456965057</v>
      </c>
      <c r="C323" s="5">
        <v>77.377469664625195</v>
      </c>
      <c r="D323" s="4">
        <v>2.4512612306009425</v>
      </c>
    </row>
    <row r="324" spans="1:4" ht="14.25" customHeight="1" x14ac:dyDescent="0.35">
      <c r="A324" s="1">
        <v>882</v>
      </c>
      <c r="B324" s="4">
        <v>6.0707386033012263</v>
      </c>
      <c r="C324" s="5">
        <v>38.093707532288313</v>
      </c>
      <c r="D324" s="4">
        <v>2.8351833885780655</v>
      </c>
    </row>
    <row r="325" spans="1:4" ht="14.25" customHeight="1" x14ac:dyDescent="0.35">
      <c r="A325" s="1">
        <v>887</v>
      </c>
      <c r="B325" s="4">
        <v>4.9686601118931186</v>
      </c>
      <c r="C325" s="5">
        <v>3.8320455416202104</v>
      </c>
      <c r="D325" s="4">
        <v>1.5646362110877148</v>
      </c>
    </row>
    <row r="326" spans="1:4" ht="14.25" customHeight="1" x14ac:dyDescent="0.35">
      <c r="A326" s="1">
        <v>892</v>
      </c>
      <c r="B326" s="4">
        <v>1.982881574739298</v>
      </c>
      <c r="C326" s="5">
        <v>97.881670076894309</v>
      </c>
      <c r="D326" s="4">
        <v>2.2444356060616961</v>
      </c>
    </row>
    <row r="327" spans="1:4" ht="14.25" customHeight="1" x14ac:dyDescent="0.35">
      <c r="A327" s="1">
        <v>893</v>
      </c>
      <c r="B327" s="4">
        <v>1.8739554197004249</v>
      </c>
      <c r="C327" s="5">
        <v>18.219840589159787</v>
      </c>
      <c r="D327" s="4">
        <v>1.0252021496093406</v>
      </c>
    </row>
    <row r="328" spans="1:4" ht="14.25" customHeight="1" x14ac:dyDescent="0.35">
      <c r="A328" s="1">
        <v>897</v>
      </c>
      <c r="B328" s="4">
        <v>6.6286404555023388</v>
      </c>
      <c r="C328" s="5">
        <v>7.3073806247415778</v>
      </c>
      <c r="D328" s="4">
        <v>1.1713132765910024</v>
      </c>
    </row>
    <row r="329" spans="1:4" ht="14.25" customHeight="1" x14ac:dyDescent="0.35">
      <c r="A329" s="1">
        <v>898</v>
      </c>
      <c r="B329" s="4">
        <v>2.442217949644212</v>
      </c>
      <c r="C329" s="5">
        <v>29.731882313102865</v>
      </c>
      <c r="D329" s="4">
        <v>1.8582243358425123</v>
      </c>
    </row>
    <row r="330" spans="1:4" ht="14.25" customHeight="1" x14ac:dyDescent="0.35">
      <c r="A330" s="1">
        <v>902</v>
      </c>
      <c r="B330" s="4">
        <v>3.2951711710406908</v>
      </c>
      <c r="C330" s="5">
        <v>25.369400074618088</v>
      </c>
      <c r="D330" s="4">
        <v>2.4600252857721698</v>
      </c>
    </row>
    <row r="331" spans="1:4" ht="14.25" customHeight="1" x14ac:dyDescent="0.35">
      <c r="A331" s="1">
        <v>906</v>
      </c>
      <c r="B331" s="4">
        <v>5.999727549320907</v>
      </c>
      <c r="C331" s="5">
        <v>3.5383758093638473</v>
      </c>
      <c r="D331" s="4">
        <v>1.5703156083848988</v>
      </c>
    </row>
    <row r="332" spans="1:4" ht="14.25" customHeight="1" x14ac:dyDescent="0.35">
      <c r="A332" s="1">
        <v>907</v>
      </c>
      <c r="B332" s="4">
        <v>2.703574087155304</v>
      </c>
      <c r="C332" s="5">
        <v>11.069155848639911</v>
      </c>
      <c r="D332" s="4">
        <v>3.1155854490368755</v>
      </c>
    </row>
    <row r="333" spans="1:4" ht="14.25" customHeight="1" x14ac:dyDescent="0.35">
      <c r="A333" s="1">
        <v>908</v>
      </c>
      <c r="B333" s="4">
        <v>9.7899024251970967</v>
      </c>
      <c r="C333" s="5">
        <v>39.329506007282497</v>
      </c>
      <c r="D333" s="4">
        <v>3.2126973351879622</v>
      </c>
    </row>
    <row r="334" spans="1:4" ht="14.25" customHeight="1" x14ac:dyDescent="0.35">
      <c r="A334" s="1">
        <v>909</v>
      </c>
      <c r="B334" s="4">
        <v>3.5885136494259342</v>
      </c>
      <c r="C334" s="5">
        <v>49.544259556649862</v>
      </c>
      <c r="D334" s="4">
        <v>3.0070392667554442</v>
      </c>
    </row>
    <row r="335" spans="1:4" ht="14.25" customHeight="1" x14ac:dyDescent="0.35">
      <c r="A335" s="1">
        <v>910</v>
      </c>
      <c r="B335" s="4">
        <v>8.1000725738569574</v>
      </c>
      <c r="C335" s="5">
        <v>77.131087605238662</v>
      </c>
      <c r="D335" s="4">
        <v>3.0934027716713364</v>
      </c>
    </row>
    <row r="336" spans="1:4" ht="14.25" customHeight="1" x14ac:dyDescent="0.35">
      <c r="A336" s="1">
        <v>911</v>
      </c>
      <c r="B336" s="4">
        <v>1.9335633747787351</v>
      </c>
      <c r="C336" s="5">
        <v>43.205483236656448</v>
      </c>
      <c r="D336" s="4">
        <v>2.5054151186286813</v>
      </c>
    </row>
    <row r="337" spans="1:4" ht="14.25" customHeight="1" x14ac:dyDescent="0.35">
      <c r="A337" s="1">
        <v>914</v>
      </c>
      <c r="B337" s="4">
        <v>4.3693233940604834</v>
      </c>
      <c r="C337" s="5">
        <v>57.544736176699118</v>
      </c>
      <c r="D337" s="4">
        <v>2.496607569643376</v>
      </c>
    </row>
    <row r="338" spans="1:4" ht="14.25" customHeight="1" x14ac:dyDescent="0.35">
      <c r="A338" s="1">
        <v>919</v>
      </c>
      <c r="B338" s="4">
        <v>7.3605457497480176</v>
      </c>
      <c r="C338" s="5">
        <v>48.588764596551712</v>
      </c>
      <c r="D338" s="4">
        <v>2.9955005190553985</v>
      </c>
    </row>
    <row r="339" spans="1:4" ht="14.25" customHeight="1" x14ac:dyDescent="0.35">
      <c r="A339" s="1">
        <v>921</v>
      </c>
      <c r="B339" s="4">
        <v>2.5440431296332422</v>
      </c>
      <c r="C339" s="5">
        <v>19.436563618590508</v>
      </c>
      <c r="D339" s="4">
        <v>1.3441814364283244</v>
      </c>
    </row>
    <row r="340" spans="1:4" ht="14.25" customHeight="1" x14ac:dyDescent="0.35">
      <c r="A340" s="1">
        <v>925</v>
      </c>
      <c r="B340" s="4">
        <v>1.9951619736682802</v>
      </c>
      <c r="C340" s="5">
        <v>93.519207582981494</v>
      </c>
      <c r="D340" s="4">
        <v>1.0887239067010381</v>
      </c>
    </row>
    <row r="341" spans="1:4" ht="14.25" customHeight="1" x14ac:dyDescent="0.35">
      <c r="A341" s="1">
        <v>926</v>
      </c>
      <c r="B341" s="4">
        <v>2.7713869129557747</v>
      </c>
      <c r="C341" s="5">
        <v>43.966042252461236</v>
      </c>
      <c r="D341" s="4">
        <v>2.0049965407962822</v>
      </c>
    </row>
    <row r="342" spans="1:4" ht="14.25" customHeight="1" x14ac:dyDescent="0.35">
      <c r="A342" s="1">
        <v>927</v>
      </c>
      <c r="B342" s="4">
        <v>4.2200021846494717</v>
      </c>
      <c r="C342" s="5">
        <v>69.703767010350845</v>
      </c>
      <c r="D342" s="4">
        <v>2.3944543900133528</v>
      </c>
    </row>
    <row r="343" spans="1:4" ht="14.25" customHeight="1" x14ac:dyDescent="0.35">
      <c r="A343" s="1">
        <v>930</v>
      </c>
      <c r="B343" s="4">
        <v>2.7549304722085735</v>
      </c>
      <c r="C343" s="5">
        <v>7.4158770781698085</v>
      </c>
      <c r="D343" s="4">
        <v>2.1105652586560986</v>
      </c>
    </row>
    <row r="344" spans="1:4" ht="14.25" customHeight="1" x14ac:dyDescent="0.35">
      <c r="A344" s="1">
        <v>931</v>
      </c>
      <c r="B344" s="4">
        <v>2.7904960506969556</v>
      </c>
      <c r="C344" s="5">
        <v>5.2130440978829906</v>
      </c>
      <c r="D344" s="4">
        <v>0.93002087125522115</v>
      </c>
    </row>
    <row r="345" spans="1:4" ht="14.25" customHeight="1" x14ac:dyDescent="0.35">
      <c r="A345" s="1">
        <v>932</v>
      </c>
      <c r="B345" s="4">
        <v>3.0412679026231624</v>
      </c>
      <c r="C345" s="5">
        <v>54.386403670793612</v>
      </c>
      <c r="D345" s="4">
        <v>1.4432946042609451</v>
      </c>
    </row>
    <row r="346" spans="1:4" ht="14.25" customHeight="1" x14ac:dyDescent="0.35">
      <c r="A346" s="1">
        <v>940</v>
      </c>
      <c r="B346" s="4">
        <v>4.4904599143116606</v>
      </c>
      <c r="C346" s="5">
        <v>42.203770021775512</v>
      </c>
      <c r="D346" s="4">
        <v>2.7399006674772557</v>
      </c>
    </row>
    <row r="347" spans="1:4" ht="14.25" customHeight="1" x14ac:dyDescent="0.35">
      <c r="A347" s="1">
        <v>941</v>
      </c>
      <c r="B347" s="4">
        <v>1.9354733747805986</v>
      </c>
      <c r="C347" s="5">
        <v>52.506593388524536</v>
      </c>
      <c r="D347" s="4">
        <v>0.70410084589658217</v>
      </c>
    </row>
    <row r="348" spans="1:4" ht="14.25" customHeight="1" x14ac:dyDescent="0.35">
      <c r="A348" s="1">
        <v>942</v>
      </c>
      <c r="B348" s="4">
        <v>5.2245469511436777</v>
      </c>
      <c r="C348" s="5">
        <v>66.474177386765433</v>
      </c>
      <c r="D348" s="4">
        <v>3.1902110097848069</v>
      </c>
    </row>
    <row r="349" spans="1:4" ht="14.25" customHeight="1" x14ac:dyDescent="0.35">
      <c r="A349" s="1">
        <v>945</v>
      </c>
      <c r="B349" s="4">
        <v>1.8525448468969952</v>
      </c>
      <c r="C349" s="5">
        <v>57.428761391341823</v>
      </c>
      <c r="D349" s="4">
        <v>1.9315248026607479</v>
      </c>
    </row>
    <row r="350" spans="1:4" ht="14.25" customHeight="1" x14ac:dyDescent="0.35">
      <c r="A350" s="1">
        <v>946</v>
      </c>
      <c r="B350" s="4">
        <v>2.2513313292517956</v>
      </c>
      <c r="C350" s="5">
        <v>28.3383698145228</v>
      </c>
      <c r="D350" s="4">
        <v>1.2815812709127499</v>
      </c>
    </row>
    <row r="351" spans="1:4" ht="14.25" customHeight="1" x14ac:dyDescent="0.35">
      <c r="A351" s="1">
        <v>948</v>
      </c>
      <c r="B351" s="4">
        <v>2.5989597031659271</v>
      </c>
      <c r="C351" s="5">
        <v>52.648277343692165</v>
      </c>
      <c r="D351" s="4">
        <v>2.6020930635261972</v>
      </c>
    </row>
    <row r="352" spans="1:4" ht="14.25" customHeight="1" x14ac:dyDescent="0.35">
      <c r="A352" s="1">
        <v>949</v>
      </c>
      <c r="B352" s="4">
        <v>0.86523383294739187</v>
      </c>
      <c r="C352" s="5">
        <v>98.249782774153502</v>
      </c>
      <c r="D352" s="4">
        <v>3.2019058741676325</v>
      </c>
    </row>
    <row r="353" spans="1:4" ht="14.25" customHeight="1" x14ac:dyDescent="0.35">
      <c r="A353" s="1">
        <v>951</v>
      </c>
      <c r="B353" s="4">
        <v>2.621341523654638</v>
      </c>
      <c r="C353" s="5">
        <v>86.065097671960714</v>
      </c>
      <c r="D353" s="4">
        <v>2.6247247209377544</v>
      </c>
    </row>
    <row r="354" spans="1:4" ht="14.25" customHeight="1" x14ac:dyDescent="0.35">
      <c r="A354" s="1">
        <v>952</v>
      </c>
      <c r="B354" s="4">
        <v>3.7788579468200965</v>
      </c>
      <c r="C354" s="5">
        <v>26.46333335858516</v>
      </c>
      <c r="D354" s="4">
        <v>2.8951123276092172</v>
      </c>
    </row>
    <row r="355" spans="1:4" ht="14.25" customHeight="1" x14ac:dyDescent="0.35">
      <c r="A355" s="1">
        <v>954</v>
      </c>
      <c r="B355" s="4">
        <v>3.5213995169796286</v>
      </c>
      <c r="C355" s="5">
        <v>4.1259991134545704E-2</v>
      </c>
      <c r="D355" s="4">
        <v>0.25512942873062083</v>
      </c>
    </row>
    <row r="356" spans="1:4" ht="14.25" customHeight="1" x14ac:dyDescent="0.35">
      <c r="A356" s="1">
        <v>955</v>
      </c>
      <c r="B356" s="4">
        <v>6.3337369649412389</v>
      </c>
      <c r="C356" s="5">
        <v>15.998953432707797</v>
      </c>
      <c r="D356" s="4">
        <v>2.9575779491830172</v>
      </c>
    </row>
    <row r="357" spans="1:4" ht="14.25" customHeight="1" x14ac:dyDescent="0.35">
      <c r="A357" s="1">
        <v>956</v>
      </c>
      <c r="B357" s="4">
        <v>4.3910514863551899</v>
      </c>
      <c r="C357" s="5">
        <v>7.4776300999606864</v>
      </c>
      <c r="D357" s="4">
        <v>2.3296747184912898</v>
      </c>
    </row>
    <row r="358" spans="1:4" ht="14.25" customHeight="1" x14ac:dyDescent="0.35">
      <c r="A358" s="1">
        <v>957</v>
      </c>
      <c r="B358" s="4">
        <v>3.1890439134701043</v>
      </c>
      <c r="C358" s="5">
        <v>37.842107101503764</v>
      </c>
      <c r="D358" s="4">
        <v>1.6538148494871492</v>
      </c>
    </row>
    <row r="359" spans="1:4" ht="14.25" customHeight="1" x14ac:dyDescent="0.35">
      <c r="A359" s="1">
        <v>959</v>
      </c>
      <c r="B359" s="4">
        <v>7.985880696492023</v>
      </c>
      <c r="C359" s="5">
        <v>11.20943255343253</v>
      </c>
      <c r="D359" s="4">
        <v>3.2277762467118438</v>
      </c>
    </row>
    <row r="360" spans="1:4" ht="14.25" customHeight="1" x14ac:dyDescent="0.35">
      <c r="A360" s="1">
        <v>961</v>
      </c>
      <c r="B360" s="4">
        <v>5.2424359195975869</v>
      </c>
      <c r="C360" s="5">
        <v>57.867540466228284</v>
      </c>
      <c r="D360" s="4">
        <v>2.7860540142845083</v>
      </c>
    </row>
    <row r="361" spans="1:4" ht="14.25" customHeight="1" x14ac:dyDescent="0.35">
      <c r="A361" s="1">
        <v>962</v>
      </c>
      <c r="B361" s="4">
        <v>0.3621252484718851</v>
      </c>
      <c r="C361" s="5">
        <v>95.408128218027827</v>
      </c>
      <c r="D361" s="4">
        <v>0.61690368932313355</v>
      </c>
    </row>
    <row r="362" spans="1:4" ht="14.25" customHeight="1" x14ac:dyDescent="0.35">
      <c r="A362" s="1">
        <v>966</v>
      </c>
      <c r="B362" s="4">
        <v>2.7321710400883825</v>
      </c>
      <c r="C362" s="5">
        <v>58.655679851668175</v>
      </c>
      <c r="D362" s="4">
        <v>3.0262736228703639</v>
      </c>
    </row>
    <row r="363" spans="1:4" ht="14.25" customHeight="1" x14ac:dyDescent="0.35">
      <c r="A363" s="1">
        <v>970</v>
      </c>
      <c r="B363" s="4">
        <v>2.1551925975341222</v>
      </c>
      <c r="C363" s="5">
        <v>62.251675513847303</v>
      </c>
      <c r="D363" s="4">
        <v>2.4230372330894476</v>
      </c>
    </row>
    <row r="364" spans="1:4" ht="14.25" customHeight="1" x14ac:dyDescent="0.35">
      <c r="A364" s="1">
        <v>971</v>
      </c>
      <c r="B364" s="4">
        <v>0.33898337185350957</v>
      </c>
      <c r="C364" s="5">
        <v>91.732859570614224</v>
      </c>
      <c r="D364" s="4">
        <v>0.64675650793850092</v>
      </c>
    </row>
    <row r="365" spans="1:4" ht="14.25" customHeight="1" x14ac:dyDescent="0.35">
      <c r="A365" s="1">
        <v>974</v>
      </c>
      <c r="B365" s="4">
        <v>2.6042552090840445</v>
      </c>
      <c r="C365" s="5">
        <v>77.92819183853787</v>
      </c>
      <c r="D365" s="4">
        <v>1.2883663378130155</v>
      </c>
    </row>
    <row r="366" spans="1:4" ht="14.25" customHeight="1" x14ac:dyDescent="0.35">
      <c r="A366" s="1">
        <v>977</v>
      </c>
      <c r="B366" s="4">
        <v>1.3460155598940049</v>
      </c>
      <c r="C366" s="5">
        <v>14.426959271837092</v>
      </c>
      <c r="D366" s="4">
        <v>1.2479184762209665</v>
      </c>
    </row>
    <row r="367" spans="1:4" ht="14.25" customHeight="1" x14ac:dyDescent="0.35">
      <c r="A367" s="1">
        <v>982</v>
      </c>
      <c r="B367" s="4">
        <v>0.33735976863779937</v>
      </c>
      <c r="C367" s="5">
        <v>57.704951339070263</v>
      </c>
      <c r="D367" s="4">
        <v>2.9035709185058072</v>
      </c>
    </row>
    <row r="368" spans="1:4" ht="14.25" customHeight="1" x14ac:dyDescent="0.35">
      <c r="A368" s="1">
        <v>983</v>
      </c>
      <c r="B368" s="4">
        <v>8.4421409456160852</v>
      </c>
      <c r="C368" s="5">
        <v>3.7976003360098765</v>
      </c>
      <c r="D368" s="4">
        <v>1.3674349530210526</v>
      </c>
    </row>
    <row r="369" spans="1:4" ht="14.25" customHeight="1" x14ac:dyDescent="0.35">
      <c r="A369" s="1">
        <v>984</v>
      </c>
      <c r="B369" s="4">
        <v>4.6998538627391362</v>
      </c>
      <c r="C369" s="5">
        <v>98.273515475890534</v>
      </c>
      <c r="D369" s="4">
        <v>2.9115368232805516</v>
      </c>
    </row>
    <row r="370" spans="1:4" ht="14.25" customHeight="1" x14ac:dyDescent="0.35">
      <c r="A370" s="1">
        <v>985</v>
      </c>
      <c r="B370" s="4">
        <v>5.5346435523973438</v>
      </c>
      <c r="C370" s="5">
        <v>8.0779941770047543</v>
      </c>
      <c r="D370" s="4">
        <v>2.0257947754439365</v>
      </c>
    </row>
    <row r="371" spans="1:4" ht="14.25" customHeight="1" x14ac:dyDescent="0.35">
      <c r="A371" s="1">
        <v>986</v>
      </c>
      <c r="B371" s="4">
        <v>2.4115912824182164</v>
      </c>
      <c r="C371" s="5">
        <v>50.393289252039395</v>
      </c>
      <c r="D371" s="4">
        <v>1.7902181220919644</v>
      </c>
    </row>
    <row r="372" spans="1:4" ht="14.25" customHeight="1" x14ac:dyDescent="0.35">
      <c r="A372" s="1">
        <v>987</v>
      </c>
      <c r="B372" s="4">
        <v>1.3756345586301699</v>
      </c>
      <c r="C372" s="5">
        <v>95.373356431579467</v>
      </c>
      <c r="D372" s="4">
        <v>1.9373146167541455</v>
      </c>
    </row>
    <row r="373" spans="1:4" ht="14.25" customHeight="1" x14ac:dyDescent="0.35">
      <c r="A373" s="1">
        <v>991</v>
      </c>
      <c r="B373" s="4">
        <v>2.5363075701339888</v>
      </c>
      <c r="C373" s="5">
        <v>67.673303917698533</v>
      </c>
      <c r="D373" s="4">
        <v>1.389346664224719</v>
      </c>
    </row>
    <row r="374" spans="1:4" ht="14.25" customHeight="1" x14ac:dyDescent="0.35">
      <c r="A374" s="1">
        <v>993</v>
      </c>
      <c r="B374" s="4">
        <v>1.5132776239129375</v>
      </c>
      <c r="C374" s="5">
        <v>66.625816347792181</v>
      </c>
      <c r="D374" s="4">
        <v>0.92813423667261141</v>
      </c>
    </row>
    <row r="375" spans="1:4" ht="14.25" customHeight="1" x14ac:dyDescent="0.35">
      <c r="A375" s="1">
        <v>998</v>
      </c>
      <c r="B375" s="4">
        <v>2.2911272481943898</v>
      </c>
      <c r="C375" s="5">
        <v>57.059042490342385</v>
      </c>
      <c r="D375" s="4">
        <v>1.5838474953129333</v>
      </c>
    </row>
    <row r="376" spans="1:4" ht="14.25" customHeight="1" x14ac:dyDescent="0.35">
      <c r="A376" s="1">
        <v>1004</v>
      </c>
      <c r="B376" s="4">
        <v>1.6551848363266464</v>
      </c>
      <c r="C376" s="5">
        <v>81.82849066644296</v>
      </c>
      <c r="D376" s="4">
        <v>0.66866328616416282</v>
      </c>
    </row>
    <row r="377" spans="1:4" ht="14.25" customHeight="1" x14ac:dyDescent="0.35">
      <c r="A377" s="1">
        <v>1008</v>
      </c>
      <c r="B377" s="4">
        <v>7.0951245721733178</v>
      </c>
      <c r="C377" s="5">
        <v>28.809419209094543</v>
      </c>
      <c r="D377" s="4">
        <v>2.8451114674449127</v>
      </c>
    </row>
    <row r="378" spans="1:4" ht="14.25" customHeight="1" x14ac:dyDescent="0.35">
      <c r="A378" s="1">
        <v>1010</v>
      </c>
      <c r="B378" s="4">
        <v>2.9190005587012378</v>
      </c>
      <c r="C378" s="5">
        <v>12.621180904158525</v>
      </c>
      <c r="D378" s="4">
        <v>0.39844708922441924</v>
      </c>
    </row>
    <row r="379" spans="1:4" ht="14.25" customHeight="1" x14ac:dyDescent="0.35">
      <c r="A379" s="1">
        <v>1012</v>
      </c>
      <c r="B379" s="4">
        <v>1.4930828690322018</v>
      </c>
      <c r="C379" s="5">
        <v>5.7791552874007284</v>
      </c>
      <c r="D379" s="4">
        <v>2.2217941189331287</v>
      </c>
    </row>
    <row r="380" spans="1:4" ht="14.25" customHeight="1" x14ac:dyDescent="0.35">
      <c r="A380" s="1">
        <v>1014</v>
      </c>
      <c r="B380" s="4">
        <v>9.0506776562361004</v>
      </c>
      <c r="C380" s="5">
        <v>0.71198952660367354</v>
      </c>
      <c r="D380" s="4">
        <v>2.3017811631630205</v>
      </c>
    </row>
    <row r="381" spans="1:4" ht="14.25" customHeight="1" x14ac:dyDescent="0.35">
      <c r="A381" s="1">
        <v>1015</v>
      </c>
      <c r="B381" s="4">
        <v>6.5411651133804725</v>
      </c>
      <c r="C381" s="5">
        <v>2.3460787476847988</v>
      </c>
      <c r="D381" s="4">
        <v>2.0027434938355491</v>
      </c>
    </row>
    <row r="382" spans="1:4" ht="14.25" customHeight="1" x14ac:dyDescent="0.35">
      <c r="A382" s="1">
        <v>1018</v>
      </c>
      <c r="B382" s="4">
        <v>0.73687519353835773</v>
      </c>
      <c r="C382" s="5">
        <v>78.803168627292365</v>
      </c>
      <c r="D382" s="4">
        <v>1.0888787614430413</v>
      </c>
    </row>
    <row r="383" spans="1:4" ht="14.25" customHeight="1" x14ac:dyDescent="0.35">
      <c r="A383" s="1">
        <v>1019</v>
      </c>
      <c r="B383" s="4">
        <v>5.5401622001281705</v>
      </c>
      <c r="C383" s="5">
        <v>40.666692342092162</v>
      </c>
      <c r="D383" s="4">
        <v>3.222612949421094</v>
      </c>
    </row>
    <row r="384" spans="1:4" ht="14.25" customHeight="1" x14ac:dyDescent="0.35">
      <c r="A384" s="1">
        <v>1022</v>
      </c>
      <c r="B384" s="4">
        <v>0.72125501653300006</v>
      </c>
      <c r="C384" s="5">
        <v>48.109380688112488</v>
      </c>
      <c r="D384" s="4">
        <v>0.39693354871659109</v>
      </c>
    </row>
    <row r="385" spans="1:4" ht="14.25" customHeight="1" x14ac:dyDescent="0.35">
      <c r="A385" s="1">
        <v>1024</v>
      </c>
      <c r="B385" s="4">
        <v>2.2098162938863988</v>
      </c>
      <c r="C385" s="5">
        <v>4.4807275882456583</v>
      </c>
      <c r="D385" s="4">
        <v>0.62211634802503069</v>
      </c>
    </row>
    <row r="386" spans="1:4" ht="14.25" customHeight="1" x14ac:dyDescent="0.35">
      <c r="A386" s="1">
        <v>1027</v>
      </c>
      <c r="B386" s="4">
        <v>8.9329644561621961</v>
      </c>
      <c r="C386" s="5">
        <v>78.27337184140039</v>
      </c>
      <c r="D386" s="4">
        <v>3.1000093499060086</v>
      </c>
    </row>
    <row r="387" spans="1:4" ht="14.25" customHeight="1" x14ac:dyDescent="0.35">
      <c r="A387" s="1">
        <v>1030</v>
      </c>
      <c r="B387" s="4">
        <v>2.4744148419726821</v>
      </c>
      <c r="C387" s="5">
        <v>29.472610184926829</v>
      </c>
      <c r="D387" s="4">
        <v>0.66453752551288514</v>
      </c>
    </row>
    <row r="388" spans="1:4" ht="14.25" customHeight="1" x14ac:dyDescent="0.35">
      <c r="A388" s="1">
        <v>1032</v>
      </c>
      <c r="B388" s="4">
        <v>2.5798664992256324</v>
      </c>
      <c r="C388" s="5">
        <v>40.041023926166311</v>
      </c>
      <c r="D388" s="4">
        <v>2.6549798139529712</v>
      </c>
    </row>
    <row r="389" spans="1:4" ht="14.25" customHeight="1" x14ac:dyDescent="0.35">
      <c r="A389" s="1">
        <v>1035</v>
      </c>
      <c r="B389" s="4">
        <v>6.5297033608495365</v>
      </c>
      <c r="C389" s="5">
        <v>2.054150321596504E-2</v>
      </c>
      <c r="D389" s="4">
        <v>1.3756516629534754</v>
      </c>
    </row>
    <row r="390" spans="1:4" ht="14.25" customHeight="1" x14ac:dyDescent="0.35">
      <c r="A390" s="1">
        <v>1039</v>
      </c>
      <c r="B390" s="4">
        <v>1.0754053635802263</v>
      </c>
      <c r="C390" s="5">
        <v>43.87476067214785</v>
      </c>
      <c r="D390" s="4">
        <v>1.4884236200128798</v>
      </c>
    </row>
    <row r="391" spans="1:4" ht="14.25" customHeight="1" x14ac:dyDescent="0.35">
      <c r="A391" s="1">
        <v>1044</v>
      </c>
      <c r="B391" s="4">
        <v>0.5610562758446358</v>
      </c>
      <c r="C391" s="5">
        <v>84.301423961499964</v>
      </c>
      <c r="D391" s="4">
        <v>2.6492622052295749</v>
      </c>
    </row>
    <row r="392" spans="1:4" ht="14.25" customHeight="1" x14ac:dyDescent="0.35">
      <c r="A392" s="1">
        <v>1046</v>
      </c>
      <c r="B392" s="4">
        <v>9.1551259569421255</v>
      </c>
      <c r="C392" s="5">
        <v>3.8455360611957645</v>
      </c>
      <c r="D392" s="4">
        <v>2.8452920736537575</v>
      </c>
    </row>
    <row r="393" spans="1:4" ht="14.25" customHeight="1" x14ac:dyDescent="0.35">
      <c r="A393" s="1">
        <v>1047</v>
      </c>
      <c r="B393" s="4">
        <v>9.4827929947116747</v>
      </c>
      <c r="C393" s="5">
        <v>92.764033188611648</v>
      </c>
      <c r="D393" s="4">
        <v>3.165594360793353</v>
      </c>
    </row>
    <row r="394" spans="1:4" ht="14.25" customHeight="1" x14ac:dyDescent="0.35">
      <c r="A394" s="1">
        <v>1049</v>
      </c>
      <c r="B394" s="4">
        <v>2.9952230291617266</v>
      </c>
      <c r="C394" s="5">
        <v>99.086174017006172</v>
      </c>
      <c r="D394" s="4">
        <v>2.7454812486031814</v>
      </c>
    </row>
    <row r="395" spans="1:4" ht="14.25" customHeight="1" x14ac:dyDescent="0.35">
      <c r="A395" s="1">
        <v>1052</v>
      </c>
      <c r="B395" s="4">
        <v>2.307131021340326</v>
      </c>
      <c r="C395" s="5">
        <v>20.272411159752799</v>
      </c>
      <c r="D395" s="4">
        <v>1.5018708748733998</v>
      </c>
    </row>
    <row r="396" spans="1:4" ht="14.25" customHeight="1" x14ac:dyDescent="0.35">
      <c r="A396" s="1">
        <v>1054</v>
      </c>
      <c r="B396" s="4">
        <v>2.7129259438412436</v>
      </c>
      <c r="C396" s="5">
        <v>56.509569875175025</v>
      </c>
      <c r="D396" s="4">
        <v>3.2262867429078299</v>
      </c>
    </row>
    <row r="397" spans="1:4" ht="14.25" customHeight="1" x14ac:dyDescent="0.35">
      <c r="A397" s="1">
        <v>1056</v>
      </c>
      <c r="B397" s="4">
        <v>1.7749600690362932</v>
      </c>
      <c r="C397" s="5">
        <v>45.96262805801441</v>
      </c>
      <c r="D397" s="4">
        <v>2.8894063146829323</v>
      </c>
    </row>
    <row r="398" spans="1:4" ht="14.25" customHeight="1" x14ac:dyDescent="0.35">
      <c r="A398" s="1">
        <v>1063</v>
      </c>
      <c r="B398" s="4">
        <v>2.7950238911642353</v>
      </c>
      <c r="C398" s="5">
        <v>85.746838630582275</v>
      </c>
      <c r="D398" s="4">
        <v>2.2679801553515504</v>
      </c>
    </row>
    <row r="399" spans="1:4" ht="14.25" customHeight="1" x14ac:dyDescent="0.35">
      <c r="A399" s="1">
        <v>1064</v>
      </c>
      <c r="B399" s="4">
        <v>1.4751298259820844</v>
      </c>
      <c r="C399" s="5">
        <v>30.095372029766708</v>
      </c>
      <c r="D399" s="4">
        <v>1.004126246666198</v>
      </c>
    </row>
    <row r="400" spans="1:4" ht="14.25" customHeight="1" x14ac:dyDescent="0.35">
      <c r="A400" s="1">
        <v>1065</v>
      </c>
      <c r="B400" s="4">
        <v>4.5046233603596777</v>
      </c>
      <c r="C400" s="5">
        <v>6.6069166427950581</v>
      </c>
      <c r="D400" s="4">
        <v>0.45500751961231134</v>
      </c>
    </row>
    <row r="401" spans="1:4" ht="14.25" customHeight="1" x14ac:dyDescent="0.35">
      <c r="A401" s="1">
        <v>1067</v>
      </c>
      <c r="B401" s="4">
        <v>1.4691299285864245</v>
      </c>
      <c r="C401" s="5">
        <v>53.878147348672492</v>
      </c>
      <c r="D401" s="4">
        <v>1.3437220959624536</v>
      </c>
    </row>
    <row r="402" spans="1:4" ht="14.25" customHeight="1" x14ac:dyDescent="0.35">
      <c r="A402" s="1">
        <v>1074</v>
      </c>
      <c r="B402" s="4">
        <v>1.9862065651892213</v>
      </c>
      <c r="C402" s="5">
        <v>63.634642964976607</v>
      </c>
      <c r="D402" s="4">
        <v>1.1383779836233618</v>
      </c>
    </row>
    <row r="403" spans="1:4" ht="14.25" customHeight="1" x14ac:dyDescent="0.35">
      <c r="A403" s="1">
        <v>1078</v>
      </c>
      <c r="B403" s="4">
        <v>3.2795894213496792</v>
      </c>
      <c r="C403" s="5">
        <v>29.479531781631064</v>
      </c>
      <c r="D403" s="4">
        <v>0.43123465675188305</v>
      </c>
    </row>
    <row r="404" spans="1:4" ht="14.25" customHeight="1" x14ac:dyDescent="0.35">
      <c r="A404" s="1">
        <v>1082</v>
      </c>
      <c r="B404" s="4">
        <v>1.729068767856885</v>
      </c>
      <c r="C404" s="5">
        <v>45.420018851408585</v>
      </c>
      <c r="D404" s="4">
        <v>1.809564467471497</v>
      </c>
    </row>
    <row r="405" spans="1:4" ht="14.25" customHeight="1" x14ac:dyDescent="0.35">
      <c r="A405" s="1">
        <v>1085</v>
      </c>
      <c r="B405" s="4">
        <v>1.6363603919986169</v>
      </c>
      <c r="C405" s="5">
        <v>67.506713226574078</v>
      </c>
      <c r="D405" s="4">
        <v>1.3057810002077281</v>
      </c>
    </row>
    <row r="406" spans="1:4" ht="14.25" customHeight="1" x14ac:dyDescent="0.35">
      <c r="A406" s="1">
        <v>1086</v>
      </c>
      <c r="B406" s="4">
        <v>3.6511156005401268</v>
      </c>
      <c r="C406" s="5">
        <v>14.824034646941387</v>
      </c>
      <c r="D406" s="4">
        <v>2.6724609240228827</v>
      </c>
    </row>
    <row r="407" spans="1:4" ht="14.25" customHeight="1" x14ac:dyDescent="0.35">
      <c r="A407" s="1">
        <v>1087</v>
      </c>
      <c r="B407" s="4">
        <v>1.5783199717317542</v>
      </c>
      <c r="C407" s="5">
        <v>16.035180164399755</v>
      </c>
      <c r="D407" s="4">
        <v>0.77773907008629262</v>
      </c>
    </row>
    <row r="408" spans="1:4" ht="14.25" customHeight="1" x14ac:dyDescent="0.35">
      <c r="A408" s="1">
        <v>1088</v>
      </c>
      <c r="B408" s="4">
        <v>3.4154874991074644</v>
      </c>
      <c r="C408" s="5">
        <v>84.462751139097776</v>
      </c>
      <c r="D408" s="4">
        <v>2.3029474391630611</v>
      </c>
    </row>
    <row r="409" spans="1:4" ht="14.25" customHeight="1" x14ac:dyDescent="0.35">
      <c r="A409" s="1">
        <v>1091</v>
      </c>
      <c r="B409" s="4">
        <v>0.92553085588797601</v>
      </c>
      <c r="C409" s="5">
        <v>88.661022343278077</v>
      </c>
      <c r="D409" s="4">
        <v>2.66143771994926</v>
      </c>
    </row>
    <row r="410" spans="1:4" ht="14.25" customHeight="1" x14ac:dyDescent="0.35">
      <c r="A410" s="1">
        <v>1094</v>
      </c>
      <c r="B410" s="4">
        <v>3.441588237306096</v>
      </c>
      <c r="C410" s="5">
        <v>66.340574915676257</v>
      </c>
      <c r="D410" s="4">
        <v>2.4948461086784777</v>
      </c>
    </row>
    <row r="411" spans="1:4" ht="14.25" customHeight="1" x14ac:dyDescent="0.35">
      <c r="A411" s="1">
        <v>1097</v>
      </c>
      <c r="B411" s="4">
        <v>4.3030294604863446</v>
      </c>
      <c r="C411" s="5">
        <v>99.222808457063948</v>
      </c>
      <c r="D411" s="4">
        <v>2.8395750199815346</v>
      </c>
    </row>
    <row r="412" spans="1:4" ht="14.25" customHeight="1" x14ac:dyDescent="0.35">
      <c r="A412" s="1">
        <v>1098</v>
      </c>
      <c r="B412" s="4">
        <v>0.69534260741033416</v>
      </c>
      <c r="C412" s="5">
        <v>48.204808004424237</v>
      </c>
      <c r="D412" s="4">
        <v>0.31486619023461765</v>
      </c>
    </row>
    <row r="413" spans="1:4" ht="14.25" customHeight="1" x14ac:dyDescent="0.35">
      <c r="A413" s="1">
        <v>1100</v>
      </c>
      <c r="B413" s="4">
        <v>6.6708003843085297</v>
      </c>
      <c r="C413" s="5">
        <v>9.6869700740117146</v>
      </c>
      <c r="D413" s="4">
        <v>3.2266163247432469</v>
      </c>
    </row>
    <row r="414" spans="1:4" ht="14.25" customHeight="1" x14ac:dyDescent="0.35">
      <c r="A414" s="1">
        <v>1101</v>
      </c>
      <c r="B414" s="4">
        <v>3.7797107747075431</v>
      </c>
      <c r="C414" s="5">
        <v>72.776842359512912</v>
      </c>
      <c r="D414" s="4">
        <v>2.7091732189573881</v>
      </c>
    </row>
    <row r="415" spans="1:4" ht="14.25" customHeight="1" x14ac:dyDescent="0.35">
      <c r="A415" s="1">
        <v>1104</v>
      </c>
      <c r="B415" s="4">
        <v>2.4110866230520589</v>
      </c>
      <c r="C415" s="5">
        <v>87.68549569993786</v>
      </c>
      <c r="D415" s="4">
        <v>1.2292350199888231</v>
      </c>
    </row>
    <row r="416" spans="1:4" ht="14.25" customHeight="1" x14ac:dyDescent="0.35">
      <c r="A416" s="1">
        <v>1106</v>
      </c>
      <c r="B416" s="4">
        <v>2.9859893627222291</v>
      </c>
      <c r="C416" s="5">
        <v>82.198983453072742</v>
      </c>
      <c r="D416" s="4">
        <v>2.8706130768340863</v>
      </c>
    </row>
    <row r="417" spans="1:4" ht="14.25" customHeight="1" x14ac:dyDescent="0.35">
      <c r="A417" s="1">
        <v>1109</v>
      </c>
      <c r="B417" s="4">
        <v>7.3420481814718386</v>
      </c>
      <c r="C417" s="5">
        <v>0.8047632978806174</v>
      </c>
      <c r="D417" s="4">
        <v>2.5271032160928897</v>
      </c>
    </row>
    <row r="418" spans="1:4" ht="14.25" customHeight="1" x14ac:dyDescent="0.35">
      <c r="A418" s="1">
        <v>1115</v>
      </c>
      <c r="B418" s="4">
        <v>3.531454338686749</v>
      </c>
      <c r="C418" s="5">
        <v>28.833813284378884</v>
      </c>
      <c r="D418" s="4">
        <v>2.4577556619557446</v>
      </c>
    </row>
    <row r="419" spans="1:4" ht="14.25" customHeight="1" x14ac:dyDescent="0.35">
      <c r="B419" s="4"/>
      <c r="C419" s="5"/>
    </row>
    <row r="420" spans="1:4" ht="14.25" customHeight="1" x14ac:dyDescent="0.35">
      <c r="B420" s="4"/>
      <c r="C420" s="5"/>
    </row>
    <row r="421" spans="1:4" ht="14.25" customHeight="1" x14ac:dyDescent="0.35">
      <c r="B421" s="4"/>
      <c r="C421" s="5"/>
    </row>
    <row r="422" spans="1:4" ht="14.25" customHeight="1" x14ac:dyDescent="0.35">
      <c r="B422" s="4"/>
      <c r="C422" s="5"/>
    </row>
    <row r="423" spans="1:4" ht="14.25" customHeight="1" x14ac:dyDescent="0.35">
      <c r="B423" s="4"/>
      <c r="C423" s="5"/>
    </row>
    <row r="424" spans="1:4" ht="14.25" customHeight="1" x14ac:dyDescent="0.35">
      <c r="B424" s="4"/>
      <c r="C424" s="5"/>
    </row>
    <row r="425" spans="1:4" ht="14.25" customHeight="1" x14ac:dyDescent="0.35">
      <c r="B425" s="4"/>
      <c r="C425" s="5"/>
    </row>
    <row r="426" spans="1:4" ht="14.25" customHeight="1" x14ac:dyDescent="0.35">
      <c r="B426" s="4"/>
      <c r="C426" s="5"/>
    </row>
    <row r="427" spans="1:4" ht="14.25" customHeight="1" x14ac:dyDescent="0.35">
      <c r="B427" s="4"/>
      <c r="C427" s="5"/>
    </row>
    <row r="428" spans="1:4" ht="14.25" customHeight="1" x14ac:dyDescent="0.35">
      <c r="B428" s="4"/>
      <c r="C428" s="5"/>
    </row>
    <row r="429" spans="1:4" ht="14.25" customHeight="1" x14ac:dyDescent="0.35">
      <c r="B429" s="4"/>
      <c r="C429" s="5"/>
    </row>
    <row r="430" spans="1:4" ht="14.25" customHeight="1" x14ac:dyDescent="0.35">
      <c r="B430" s="4"/>
      <c r="C430" s="5"/>
    </row>
    <row r="431" spans="1:4" ht="14.25" customHeight="1" x14ac:dyDescent="0.35">
      <c r="B431" s="4"/>
      <c r="C431" s="5"/>
    </row>
    <row r="432" spans="1:4" ht="14.25" customHeight="1" x14ac:dyDescent="0.35">
      <c r="B432" s="4"/>
      <c r="C432" s="5"/>
    </row>
    <row r="433" spans="2:3" ht="14.25" customHeight="1" x14ac:dyDescent="0.35">
      <c r="B433" s="4"/>
      <c r="C433" s="5"/>
    </row>
    <row r="434" spans="2:3" ht="14.25" customHeight="1" x14ac:dyDescent="0.35">
      <c r="B434" s="4"/>
      <c r="C434" s="5"/>
    </row>
    <row r="435" spans="2:3" ht="14.25" customHeight="1" x14ac:dyDescent="0.35">
      <c r="B435" s="4"/>
      <c r="C435" s="5"/>
    </row>
    <row r="436" spans="2:3" ht="14.25" customHeight="1" x14ac:dyDescent="0.35">
      <c r="B436" s="4"/>
      <c r="C436" s="5"/>
    </row>
    <row r="437" spans="2:3" ht="14.25" customHeight="1" x14ac:dyDescent="0.35">
      <c r="B437" s="4"/>
      <c r="C437" s="5"/>
    </row>
    <row r="438" spans="2:3" ht="14.25" customHeight="1" x14ac:dyDescent="0.35">
      <c r="B438" s="4"/>
      <c r="C438" s="5"/>
    </row>
    <row r="439" spans="2:3" ht="14.25" customHeight="1" x14ac:dyDescent="0.35">
      <c r="B439" s="4"/>
      <c r="C439" s="5"/>
    </row>
    <row r="440" spans="2:3" ht="14.25" customHeight="1" x14ac:dyDescent="0.35">
      <c r="B440" s="4"/>
      <c r="C440" s="5"/>
    </row>
    <row r="441" spans="2:3" ht="14.25" customHeight="1" x14ac:dyDescent="0.35">
      <c r="B441" s="4"/>
      <c r="C441" s="5"/>
    </row>
    <row r="442" spans="2:3" ht="14.25" customHeight="1" x14ac:dyDescent="0.35">
      <c r="B442" s="4"/>
      <c r="C442" s="5"/>
    </row>
    <row r="443" spans="2:3" ht="14.25" customHeight="1" x14ac:dyDescent="0.35">
      <c r="B443" s="4"/>
      <c r="C443" s="5"/>
    </row>
    <row r="444" spans="2:3" ht="14.25" customHeight="1" x14ac:dyDescent="0.35">
      <c r="B444" s="4"/>
      <c r="C444" s="5"/>
    </row>
    <row r="445" spans="2:3" ht="14.25" customHeight="1" x14ac:dyDescent="0.35">
      <c r="B445" s="4"/>
      <c r="C445" s="5"/>
    </row>
    <row r="446" spans="2:3" ht="14.25" customHeight="1" x14ac:dyDescent="0.35">
      <c r="B446" s="4"/>
      <c r="C446" s="5"/>
    </row>
    <row r="447" spans="2:3" ht="14.25" customHeight="1" x14ac:dyDescent="0.35">
      <c r="B447" s="4"/>
      <c r="C447" s="5"/>
    </row>
    <row r="448" spans="2:3" ht="14.25" customHeight="1" x14ac:dyDescent="0.35">
      <c r="B448" s="4"/>
      <c r="C448" s="5"/>
    </row>
    <row r="449" spans="2:3" ht="14.25" customHeight="1" x14ac:dyDescent="0.35">
      <c r="B449" s="4"/>
      <c r="C449" s="5"/>
    </row>
    <row r="450" spans="2:3" ht="14.25" customHeight="1" x14ac:dyDescent="0.35">
      <c r="B450" s="4"/>
      <c r="C450" s="5"/>
    </row>
    <row r="451" spans="2:3" ht="14.25" customHeight="1" x14ac:dyDescent="0.35">
      <c r="B451" s="4"/>
      <c r="C451" s="5"/>
    </row>
    <row r="452" spans="2:3" ht="14.25" customHeight="1" x14ac:dyDescent="0.35">
      <c r="B452" s="4"/>
      <c r="C452" s="5"/>
    </row>
    <row r="453" spans="2:3" ht="14.25" customHeight="1" x14ac:dyDescent="0.35">
      <c r="B453" s="4"/>
      <c r="C453" s="5"/>
    </row>
    <row r="454" spans="2:3" ht="14.25" customHeight="1" x14ac:dyDescent="0.35">
      <c r="B454" s="4"/>
      <c r="C454" s="5"/>
    </row>
    <row r="455" spans="2:3" ht="14.25" customHeight="1" x14ac:dyDescent="0.35">
      <c r="B455" s="4"/>
      <c r="C455" s="5"/>
    </row>
    <row r="456" spans="2:3" ht="14.25" customHeight="1" x14ac:dyDescent="0.35">
      <c r="B456" s="4"/>
      <c r="C456" s="5"/>
    </row>
    <row r="457" spans="2:3" ht="14.25" customHeight="1" x14ac:dyDescent="0.35">
      <c r="B457" s="4"/>
      <c r="C457" s="5"/>
    </row>
    <row r="458" spans="2:3" ht="14.25" customHeight="1" x14ac:dyDescent="0.35">
      <c r="B458" s="4"/>
      <c r="C458" s="5"/>
    </row>
    <row r="459" spans="2:3" ht="14.25" customHeight="1" x14ac:dyDescent="0.35">
      <c r="B459" s="4"/>
      <c r="C459" s="5"/>
    </row>
    <row r="460" spans="2:3" ht="14.25" customHeight="1" x14ac:dyDescent="0.35">
      <c r="B460" s="4"/>
      <c r="C460" s="5"/>
    </row>
    <row r="461" spans="2:3" ht="14.25" customHeight="1" x14ac:dyDescent="0.35">
      <c r="B461" s="4"/>
      <c r="C461" s="5"/>
    </row>
    <row r="462" spans="2:3" ht="14.25" customHeight="1" x14ac:dyDescent="0.35">
      <c r="B462" s="4"/>
      <c r="C462" s="5"/>
    </row>
    <row r="463" spans="2:3" ht="14.25" customHeight="1" x14ac:dyDescent="0.35">
      <c r="B463" s="4"/>
      <c r="C463" s="5"/>
    </row>
    <row r="464" spans="2:3" ht="14.25" customHeight="1" x14ac:dyDescent="0.35">
      <c r="B464" s="4"/>
      <c r="C464" s="5"/>
    </row>
    <row r="465" spans="2:3" ht="14.25" customHeight="1" x14ac:dyDescent="0.35">
      <c r="B465" s="4"/>
      <c r="C465" s="5"/>
    </row>
    <row r="466" spans="2:3" ht="14.25" customHeight="1" x14ac:dyDescent="0.35">
      <c r="B466" s="4"/>
      <c r="C466" s="5"/>
    </row>
    <row r="467" spans="2:3" ht="14.25" customHeight="1" x14ac:dyDescent="0.35">
      <c r="B467" s="4"/>
      <c r="C467" s="5"/>
    </row>
    <row r="468" spans="2:3" ht="14.25" customHeight="1" x14ac:dyDescent="0.35">
      <c r="B468" s="4"/>
      <c r="C468" s="5"/>
    </row>
    <row r="469" spans="2:3" ht="14.25" customHeight="1" x14ac:dyDescent="0.35">
      <c r="B469" s="4"/>
      <c r="C469" s="5"/>
    </row>
    <row r="470" spans="2:3" ht="14.25" customHeight="1" x14ac:dyDescent="0.35">
      <c r="B470" s="4"/>
      <c r="C470" s="5"/>
    </row>
    <row r="471" spans="2:3" ht="14.25" customHeight="1" x14ac:dyDescent="0.35">
      <c r="B471" s="4"/>
      <c r="C471" s="5"/>
    </row>
    <row r="472" spans="2:3" ht="14.25" customHeight="1" x14ac:dyDescent="0.35">
      <c r="B472" s="4"/>
      <c r="C472" s="5"/>
    </row>
    <row r="473" spans="2:3" ht="14.25" customHeight="1" x14ac:dyDescent="0.35">
      <c r="B473" s="4"/>
      <c r="C473" s="5"/>
    </row>
    <row r="474" spans="2:3" ht="14.25" customHeight="1" x14ac:dyDescent="0.35">
      <c r="B474" s="4"/>
      <c r="C474" s="5"/>
    </row>
    <row r="475" spans="2:3" ht="14.25" customHeight="1" x14ac:dyDescent="0.35">
      <c r="B475" s="4"/>
      <c r="C475" s="5"/>
    </row>
    <row r="476" spans="2:3" ht="14.25" customHeight="1" x14ac:dyDescent="0.35">
      <c r="B476" s="4"/>
      <c r="C476" s="5"/>
    </row>
    <row r="477" spans="2:3" ht="14.25" customHeight="1" x14ac:dyDescent="0.35">
      <c r="B477" s="4"/>
      <c r="C477" s="5"/>
    </row>
    <row r="478" spans="2:3" ht="14.25" customHeight="1" x14ac:dyDescent="0.35">
      <c r="B478" s="4"/>
      <c r="C478" s="5"/>
    </row>
    <row r="479" spans="2:3" ht="14.25" customHeight="1" x14ac:dyDescent="0.35">
      <c r="B479" s="4"/>
      <c r="C479" s="5"/>
    </row>
    <row r="480" spans="2:3" ht="14.25" customHeight="1" x14ac:dyDescent="0.35">
      <c r="B480" s="4"/>
      <c r="C480" s="5"/>
    </row>
    <row r="481" spans="2:3" ht="14.25" customHeight="1" x14ac:dyDescent="0.35">
      <c r="B481" s="4"/>
      <c r="C481" s="5"/>
    </row>
    <row r="482" spans="2:3" ht="14.25" customHeight="1" x14ac:dyDescent="0.35">
      <c r="B482" s="4"/>
      <c r="C482" s="5"/>
    </row>
    <row r="483" spans="2:3" ht="14.25" customHeight="1" x14ac:dyDescent="0.35">
      <c r="B483" s="4"/>
      <c r="C483" s="5"/>
    </row>
    <row r="484" spans="2:3" ht="14.25" customHeight="1" x14ac:dyDescent="0.35">
      <c r="B484" s="4"/>
      <c r="C484" s="5"/>
    </row>
    <row r="485" spans="2:3" ht="14.25" customHeight="1" x14ac:dyDescent="0.35">
      <c r="B485" s="4"/>
      <c r="C485" s="5"/>
    </row>
    <row r="486" spans="2:3" ht="14.25" customHeight="1" x14ac:dyDescent="0.35">
      <c r="B486" s="4"/>
      <c r="C486" s="5"/>
    </row>
    <row r="487" spans="2:3" ht="14.25" customHeight="1" x14ac:dyDescent="0.35">
      <c r="B487" s="4"/>
      <c r="C487" s="5"/>
    </row>
    <row r="488" spans="2:3" ht="14.25" customHeight="1" x14ac:dyDescent="0.35">
      <c r="B488" s="4"/>
      <c r="C488" s="5"/>
    </row>
    <row r="489" spans="2:3" ht="14.25" customHeight="1" x14ac:dyDescent="0.35">
      <c r="B489" s="4"/>
      <c r="C489" s="5"/>
    </row>
    <row r="490" spans="2:3" ht="14.25" customHeight="1" x14ac:dyDescent="0.35">
      <c r="B490" s="4"/>
      <c r="C490" s="5"/>
    </row>
    <row r="491" spans="2:3" ht="14.25" customHeight="1" x14ac:dyDescent="0.35">
      <c r="B491" s="4"/>
      <c r="C491" s="5"/>
    </row>
    <row r="492" spans="2:3" ht="14.25" customHeight="1" x14ac:dyDescent="0.35">
      <c r="B492" s="4"/>
      <c r="C492" s="5"/>
    </row>
    <row r="493" spans="2:3" ht="14.25" customHeight="1" x14ac:dyDescent="0.35">
      <c r="B493" s="4"/>
      <c r="C493" s="5"/>
    </row>
    <row r="494" spans="2:3" ht="14.25" customHeight="1" x14ac:dyDescent="0.35">
      <c r="B494" s="4"/>
      <c r="C494" s="5"/>
    </row>
    <row r="495" spans="2:3" ht="14.25" customHeight="1" x14ac:dyDescent="0.35">
      <c r="B495" s="4"/>
      <c r="C495" s="5"/>
    </row>
    <row r="496" spans="2:3" ht="14.25" customHeight="1" x14ac:dyDescent="0.35">
      <c r="B496" s="4"/>
      <c r="C496" s="5"/>
    </row>
    <row r="497" spans="2:3" ht="14.25" customHeight="1" x14ac:dyDescent="0.35">
      <c r="B497" s="4"/>
      <c r="C497" s="5"/>
    </row>
    <row r="498" spans="2:3" ht="14.25" customHeight="1" x14ac:dyDescent="0.35">
      <c r="B498" s="4"/>
      <c r="C498" s="5"/>
    </row>
    <row r="499" spans="2:3" ht="14.25" customHeight="1" x14ac:dyDescent="0.35">
      <c r="B499" s="4"/>
      <c r="C499" s="5"/>
    </row>
    <row r="500" spans="2:3" ht="14.25" customHeight="1" x14ac:dyDescent="0.35">
      <c r="B500" s="4"/>
      <c r="C500" s="5"/>
    </row>
    <row r="501" spans="2:3" ht="14.25" customHeight="1" x14ac:dyDescent="0.35">
      <c r="B501" s="4"/>
      <c r="C501" s="5"/>
    </row>
    <row r="502" spans="2:3" ht="14.25" customHeight="1" x14ac:dyDescent="0.35">
      <c r="B502" s="4"/>
      <c r="C502" s="5"/>
    </row>
    <row r="503" spans="2:3" ht="14.25" customHeight="1" x14ac:dyDescent="0.35">
      <c r="B503" s="4"/>
      <c r="C503" s="5"/>
    </row>
    <row r="504" spans="2:3" ht="14.25" customHeight="1" x14ac:dyDescent="0.35">
      <c r="B504" s="4"/>
      <c r="C504" s="5"/>
    </row>
    <row r="505" spans="2:3" ht="14.25" customHeight="1" x14ac:dyDescent="0.35">
      <c r="B505" s="4"/>
      <c r="C505" s="5"/>
    </row>
    <row r="506" spans="2:3" ht="14.25" customHeight="1" x14ac:dyDescent="0.35">
      <c r="B506" s="4"/>
      <c r="C506" s="5"/>
    </row>
    <row r="507" spans="2:3" ht="14.25" customHeight="1" x14ac:dyDescent="0.35">
      <c r="B507" s="4"/>
      <c r="C507" s="5"/>
    </row>
    <row r="508" spans="2:3" ht="14.25" customHeight="1" x14ac:dyDescent="0.35">
      <c r="B508" s="4"/>
      <c r="C508" s="5"/>
    </row>
    <row r="509" spans="2:3" ht="14.25" customHeight="1" x14ac:dyDescent="0.35">
      <c r="B509" s="4"/>
      <c r="C509" s="5"/>
    </row>
    <row r="510" spans="2:3" ht="14.25" customHeight="1" x14ac:dyDescent="0.35">
      <c r="B510" s="4"/>
      <c r="C510" s="5"/>
    </row>
    <row r="511" spans="2:3" ht="14.25" customHeight="1" x14ac:dyDescent="0.35">
      <c r="B511" s="4"/>
      <c r="C511" s="5"/>
    </row>
    <row r="512" spans="2:3" ht="14.25" customHeight="1" x14ac:dyDescent="0.35">
      <c r="B512" s="4"/>
      <c r="C512" s="5"/>
    </row>
    <row r="513" spans="2:3" ht="14.25" customHeight="1" x14ac:dyDescent="0.35">
      <c r="B513" s="4"/>
      <c r="C513" s="5"/>
    </row>
    <row r="514" spans="2:3" ht="14.25" customHeight="1" x14ac:dyDescent="0.35">
      <c r="B514" s="4"/>
      <c r="C514" s="5"/>
    </row>
    <row r="515" spans="2:3" ht="14.25" customHeight="1" x14ac:dyDescent="0.35">
      <c r="B515" s="4"/>
      <c r="C515" s="5"/>
    </row>
    <row r="516" spans="2:3" ht="14.25" customHeight="1" x14ac:dyDescent="0.35">
      <c r="B516" s="4"/>
      <c r="C516" s="5"/>
    </row>
    <row r="517" spans="2:3" ht="14.25" customHeight="1" x14ac:dyDescent="0.35">
      <c r="B517" s="4"/>
      <c r="C517" s="5"/>
    </row>
    <row r="518" spans="2:3" ht="14.25" customHeight="1" x14ac:dyDescent="0.35">
      <c r="B518" s="4"/>
      <c r="C518" s="5"/>
    </row>
    <row r="519" spans="2:3" ht="14.25" customHeight="1" x14ac:dyDescent="0.35">
      <c r="B519" s="4"/>
      <c r="C519" s="5"/>
    </row>
    <row r="520" spans="2:3" ht="14.25" customHeight="1" x14ac:dyDescent="0.35">
      <c r="B520" s="4"/>
      <c r="C520" s="5"/>
    </row>
    <row r="521" spans="2:3" ht="14.25" customHeight="1" x14ac:dyDescent="0.35">
      <c r="B521" s="4"/>
      <c r="C521" s="5"/>
    </row>
    <row r="522" spans="2:3" ht="14.25" customHeight="1" x14ac:dyDescent="0.35">
      <c r="B522" s="4"/>
      <c r="C522" s="5"/>
    </row>
    <row r="523" spans="2:3" ht="14.25" customHeight="1" x14ac:dyDescent="0.35">
      <c r="B523" s="4"/>
      <c r="C523" s="5"/>
    </row>
    <row r="524" spans="2:3" ht="14.25" customHeight="1" x14ac:dyDescent="0.35">
      <c r="B524" s="4"/>
      <c r="C524" s="5"/>
    </row>
    <row r="525" spans="2:3" ht="14.25" customHeight="1" x14ac:dyDescent="0.35">
      <c r="B525" s="4"/>
      <c r="C525" s="5"/>
    </row>
    <row r="526" spans="2:3" ht="14.25" customHeight="1" x14ac:dyDescent="0.35">
      <c r="B526" s="4"/>
      <c r="C526" s="5"/>
    </row>
    <row r="527" spans="2:3" ht="14.25" customHeight="1" x14ac:dyDescent="0.35">
      <c r="B527" s="4"/>
      <c r="C527" s="5"/>
    </row>
    <row r="528" spans="2:3" ht="14.25" customHeight="1" x14ac:dyDescent="0.35">
      <c r="B528" s="4"/>
      <c r="C528" s="5"/>
    </row>
    <row r="529" spans="2:3" ht="14.25" customHeight="1" x14ac:dyDescent="0.35">
      <c r="B529" s="4"/>
      <c r="C529" s="5"/>
    </row>
    <row r="530" spans="2:3" ht="14.25" customHeight="1" x14ac:dyDescent="0.35">
      <c r="B530" s="4"/>
      <c r="C530" s="5"/>
    </row>
    <row r="531" spans="2:3" ht="14.25" customHeight="1" x14ac:dyDescent="0.35">
      <c r="B531" s="4"/>
      <c r="C531" s="5"/>
    </row>
    <row r="532" spans="2:3" ht="14.25" customHeight="1" x14ac:dyDescent="0.35">
      <c r="B532" s="4"/>
      <c r="C532" s="5"/>
    </row>
    <row r="533" spans="2:3" ht="14.25" customHeight="1" x14ac:dyDescent="0.35">
      <c r="B533" s="4"/>
      <c r="C533" s="5"/>
    </row>
    <row r="534" spans="2:3" ht="14.25" customHeight="1" x14ac:dyDescent="0.35">
      <c r="B534" s="4"/>
      <c r="C534" s="5"/>
    </row>
    <row r="535" spans="2:3" ht="14.25" customHeight="1" x14ac:dyDescent="0.35">
      <c r="B535" s="4"/>
      <c r="C535" s="5"/>
    </row>
    <row r="536" spans="2:3" ht="14.25" customHeight="1" x14ac:dyDescent="0.35">
      <c r="B536" s="4"/>
      <c r="C536" s="5"/>
    </row>
    <row r="537" spans="2:3" ht="14.25" customHeight="1" x14ac:dyDescent="0.35">
      <c r="B537" s="4"/>
      <c r="C537" s="5"/>
    </row>
    <row r="538" spans="2:3" ht="14.25" customHeight="1" x14ac:dyDescent="0.35">
      <c r="B538" s="4"/>
      <c r="C538" s="5"/>
    </row>
    <row r="539" spans="2:3" ht="14.25" customHeight="1" x14ac:dyDescent="0.35">
      <c r="B539" s="4"/>
      <c r="C539" s="5"/>
    </row>
    <row r="540" spans="2:3" ht="14.25" customHeight="1" x14ac:dyDescent="0.35">
      <c r="B540" s="4"/>
      <c r="C540" s="5"/>
    </row>
    <row r="541" spans="2:3" ht="14.25" customHeight="1" x14ac:dyDescent="0.35">
      <c r="B541" s="4"/>
      <c r="C541" s="5"/>
    </row>
    <row r="542" spans="2:3" ht="14.25" customHeight="1" x14ac:dyDescent="0.35">
      <c r="B542" s="4"/>
      <c r="C542" s="5"/>
    </row>
    <row r="543" spans="2:3" ht="14.25" customHeight="1" x14ac:dyDescent="0.35">
      <c r="B543" s="4"/>
      <c r="C543" s="5"/>
    </row>
    <row r="544" spans="2:3" ht="14.25" customHeight="1" x14ac:dyDescent="0.35">
      <c r="B544" s="4"/>
      <c r="C544" s="5"/>
    </row>
    <row r="545" spans="2:3" ht="14.25" customHeight="1" x14ac:dyDescent="0.35">
      <c r="B545" s="4"/>
      <c r="C545" s="5"/>
    </row>
    <row r="546" spans="2:3" ht="14.25" customHeight="1" x14ac:dyDescent="0.35">
      <c r="B546" s="4"/>
      <c r="C546" s="5"/>
    </row>
    <row r="547" spans="2:3" ht="14.25" customHeight="1" x14ac:dyDescent="0.35">
      <c r="B547" s="4"/>
      <c r="C547" s="5"/>
    </row>
    <row r="548" spans="2:3" ht="14.25" customHeight="1" x14ac:dyDescent="0.35">
      <c r="B548" s="4"/>
      <c r="C548" s="5"/>
    </row>
    <row r="549" spans="2:3" ht="14.25" customHeight="1" x14ac:dyDescent="0.35">
      <c r="B549" s="4"/>
      <c r="C549" s="5"/>
    </row>
    <row r="550" spans="2:3" ht="14.25" customHeight="1" x14ac:dyDescent="0.35">
      <c r="B550" s="4"/>
      <c r="C550" s="5"/>
    </row>
    <row r="551" spans="2:3" ht="14.25" customHeight="1" x14ac:dyDescent="0.35">
      <c r="B551" s="4"/>
      <c r="C551" s="5"/>
    </row>
    <row r="552" spans="2:3" ht="14.25" customHeight="1" x14ac:dyDescent="0.35">
      <c r="B552" s="4"/>
      <c r="C552" s="5"/>
    </row>
    <row r="553" spans="2:3" ht="14.25" customHeight="1" x14ac:dyDescent="0.35">
      <c r="B553" s="4"/>
      <c r="C553" s="5"/>
    </row>
    <row r="554" spans="2:3" ht="14.25" customHeight="1" x14ac:dyDescent="0.35">
      <c r="B554" s="4"/>
      <c r="C554" s="5"/>
    </row>
    <row r="555" spans="2:3" ht="14.25" customHeight="1" x14ac:dyDescent="0.35">
      <c r="B555" s="4"/>
      <c r="C555" s="5"/>
    </row>
    <row r="556" spans="2:3" ht="14.25" customHeight="1" x14ac:dyDescent="0.35">
      <c r="B556" s="4"/>
      <c r="C556" s="5"/>
    </row>
    <row r="557" spans="2:3" ht="14.25" customHeight="1" x14ac:dyDescent="0.35">
      <c r="B557" s="4"/>
      <c r="C557" s="5"/>
    </row>
    <row r="558" spans="2:3" ht="14.25" customHeight="1" x14ac:dyDescent="0.35">
      <c r="B558" s="4"/>
      <c r="C558" s="5"/>
    </row>
    <row r="559" spans="2:3" ht="14.25" customHeight="1" x14ac:dyDescent="0.35">
      <c r="B559" s="4"/>
      <c r="C559" s="5"/>
    </row>
    <row r="560" spans="2:3" ht="14.25" customHeight="1" x14ac:dyDescent="0.35">
      <c r="B560" s="4"/>
      <c r="C560" s="5"/>
    </row>
    <row r="561" spans="2:3" ht="14.25" customHeight="1" x14ac:dyDescent="0.35">
      <c r="B561" s="4"/>
      <c r="C561" s="5"/>
    </row>
    <row r="562" spans="2:3" ht="14.25" customHeight="1" x14ac:dyDescent="0.35">
      <c r="B562" s="4"/>
      <c r="C562" s="5"/>
    </row>
    <row r="563" spans="2:3" ht="14.25" customHeight="1" x14ac:dyDescent="0.35">
      <c r="B563" s="4"/>
      <c r="C563" s="5"/>
    </row>
    <row r="564" spans="2:3" ht="14.25" customHeight="1" x14ac:dyDescent="0.35">
      <c r="B564" s="4"/>
      <c r="C564" s="5"/>
    </row>
    <row r="565" spans="2:3" ht="14.25" customHeight="1" x14ac:dyDescent="0.35">
      <c r="B565" s="4"/>
      <c r="C565" s="5"/>
    </row>
    <row r="566" spans="2:3" ht="14.25" customHeight="1" x14ac:dyDescent="0.35">
      <c r="B566" s="4"/>
      <c r="C566" s="5"/>
    </row>
    <row r="567" spans="2:3" ht="14.25" customHeight="1" x14ac:dyDescent="0.35">
      <c r="B567" s="4"/>
      <c r="C567" s="5"/>
    </row>
    <row r="568" spans="2:3" ht="14.25" customHeight="1" x14ac:dyDescent="0.35">
      <c r="B568" s="4"/>
      <c r="C568" s="5"/>
    </row>
    <row r="569" spans="2:3" ht="14.25" customHeight="1" x14ac:dyDescent="0.35">
      <c r="B569" s="4"/>
      <c r="C569" s="5"/>
    </row>
    <row r="570" spans="2:3" ht="14.25" customHeight="1" x14ac:dyDescent="0.35">
      <c r="B570" s="4"/>
      <c r="C570" s="5"/>
    </row>
    <row r="571" spans="2:3" ht="14.25" customHeight="1" x14ac:dyDescent="0.35">
      <c r="B571" s="4"/>
      <c r="C571" s="5"/>
    </row>
    <row r="572" spans="2:3" ht="14.25" customHeight="1" x14ac:dyDescent="0.35">
      <c r="B572" s="4"/>
      <c r="C572" s="5"/>
    </row>
    <row r="573" spans="2:3" ht="14.25" customHeight="1" x14ac:dyDescent="0.35">
      <c r="B573" s="4"/>
      <c r="C573" s="5"/>
    </row>
    <row r="574" spans="2:3" ht="14.25" customHeight="1" x14ac:dyDescent="0.35">
      <c r="B574" s="4"/>
      <c r="C574" s="5"/>
    </row>
    <row r="575" spans="2:3" ht="14.25" customHeight="1" x14ac:dyDescent="0.35">
      <c r="B575" s="4"/>
      <c r="C575" s="5"/>
    </row>
    <row r="576" spans="2:3" ht="14.25" customHeight="1" x14ac:dyDescent="0.35">
      <c r="B576" s="4"/>
      <c r="C576" s="5"/>
    </row>
    <row r="577" spans="2:3" ht="14.25" customHeight="1" x14ac:dyDescent="0.35">
      <c r="B577" s="4"/>
      <c r="C577" s="5"/>
    </row>
    <row r="578" spans="2:3" ht="14.25" customHeight="1" x14ac:dyDescent="0.35">
      <c r="B578" s="4"/>
      <c r="C578" s="5"/>
    </row>
    <row r="579" spans="2:3" ht="14.25" customHeight="1" x14ac:dyDescent="0.35">
      <c r="B579" s="4"/>
      <c r="C579" s="5"/>
    </row>
    <row r="580" spans="2:3" ht="14.25" customHeight="1" x14ac:dyDescent="0.35">
      <c r="B580" s="4"/>
      <c r="C580" s="5"/>
    </row>
    <row r="581" spans="2:3" ht="14.25" customHeight="1" x14ac:dyDescent="0.35">
      <c r="B581" s="4"/>
      <c r="C581" s="5"/>
    </row>
    <row r="582" spans="2:3" ht="14.25" customHeight="1" x14ac:dyDescent="0.35">
      <c r="B582" s="4"/>
      <c r="C582" s="5"/>
    </row>
    <row r="583" spans="2:3" ht="14.25" customHeight="1" x14ac:dyDescent="0.35">
      <c r="B583" s="4"/>
      <c r="C583" s="5"/>
    </row>
    <row r="584" spans="2:3" ht="14.25" customHeight="1" x14ac:dyDescent="0.35">
      <c r="B584" s="4"/>
      <c r="C584" s="5"/>
    </row>
    <row r="585" spans="2:3" ht="14.25" customHeight="1" x14ac:dyDescent="0.35">
      <c r="B585" s="4"/>
      <c r="C585" s="5"/>
    </row>
    <row r="586" spans="2:3" ht="14.25" customHeight="1" x14ac:dyDescent="0.35">
      <c r="B586" s="4"/>
      <c r="C586" s="5"/>
    </row>
    <row r="587" spans="2:3" ht="14.25" customHeight="1" x14ac:dyDescent="0.35">
      <c r="B587" s="4"/>
      <c r="C587" s="5"/>
    </row>
    <row r="588" spans="2:3" ht="14.25" customHeight="1" x14ac:dyDescent="0.35">
      <c r="B588" s="4"/>
      <c r="C588" s="5"/>
    </row>
    <row r="589" spans="2:3" ht="14.25" customHeight="1" x14ac:dyDescent="0.35">
      <c r="B589" s="4"/>
      <c r="C589" s="5"/>
    </row>
    <row r="590" spans="2:3" ht="14.25" customHeight="1" x14ac:dyDescent="0.35">
      <c r="B590" s="4"/>
      <c r="C590" s="5"/>
    </row>
    <row r="591" spans="2:3" ht="14.25" customHeight="1" x14ac:dyDescent="0.35">
      <c r="B591" s="4"/>
      <c r="C591" s="5"/>
    </row>
    <row r="592" spans="2:3" ht="14.25" customHeight="1" x14ac:dyDescent="0.35">
      <c r="B592" s="4"/>
      <c r="C592" s="5"/>
    </row>
    <row r="593" spans="2:3" ht="14.25" customHeight="1" x14ac:dyDescent="0.35">
      <c r="B593" s="4"/>
      <c r="C593" s="5"/>
    </row>
    <row r="594" spans="2:3" ht="14.25" customHeight="1" x14ac:dyDescent="0.35">
      <c r="B594" s="4"/>
      <c r="C594" s="5"/>
    </row>
    <row r="595" spans="2:3" ht="14.25" customHeight="1" x14ac:dyDescent="0.35">
      <c r="B595" s="4"/>
      <c r="C595" s="5"/>
    </row>
    <row r="596" spans="2:3" ht="14.25" customHeight="1" x14ac:dyDescent="0.35">
      <c r="B596" s="4"/>
      <c r="C596" s="5"/>
    </row>
    <row r="597" spans="2:3" ht="14.25" customHeight="1" x14ac:dyDescent="0.35">
      <c r="B597" s="4"/>
      <c r="C597" s="5"/>
    </row>
    <row r="598" spans="2:3" ht="14.25" customHeight="1" x14ac:dyDescent="0.35">
      <c r="B598" s="4"/>
      <c r="C598" s="5"/>
    </row>
    <row r="599" spans="2:3" ht="14.25" customHeight="1" x14ac:dyDescent="0.35">
      <c r="B599" s="4"/>
      <c r="C599" s="5"/>
    </row>
    <row r="600" spans="2:3" ht="14.25" customHeight="1" x14ac:dyDescent="0.35">
      <c r="B600" s="4"/>
      <c r="C600" s="5"/>
    </row>
    <row r="601" spans="2:3" ht="14.25" customHeight="1" x14ac:dyDescent="0.35">
      <c r="B601" s="4"/>
      <c r="C601" s="5"/>
    </row>
    <row r="602" spans="2:3" ht="14.25" customHeight="1" x14ac:dyDescent="0.35">
      <c r="B602" s="4"/>
      <c r="C602" s="5"/>
    </row>
    <row r="603" spans="2:3" ht="14.25" customHeight="1" x14ac:dyDescent="0.35">
      <c r="B603" s="4"/>
      <c r="C603" s="5"/>
    </row>
    <row r="604" spans="2:3" ht="14.25" customHeight="1" x14ac:dyDescent="0.35">
      <c r="B604" s="4"/>
      <c r="C604" s="5"/>
    </row>
    <row r="605" spans="2:3" ht="14.25" customHeight="1" x14ac:dyDescent="0.35">
      <c r="B605" s="4"/>
      <c r="C605" s="5"/>
    </row>
    <row r="606" spans="2:3" ht="14.25" customHeight="1" x14ac:dyDescent="0.35">
      <c r="B606" s="4"/>
      <c r="C606" s="5"/>
    </row>
    <row r="607" spans="2:3" ht="14.25" customHeight="1" x14ac:dyDescent="0.35">
      <c r="B607" s="4"/>
      <c r="C607" s="5"/>
    </row>
    <row r="608" spans="2:3" ht="14.25" customHeight="1" x14ac:dyDescent="0.35">
      <c r="B608" s="4"/>
      <c r="C608" s="5"/>
    </row>
    <row r="609" spans="2:3" ht="14.25" customHeight="1" x14ac:dyDescent="0.35">
      <c r="B609" s="4"/>
      <c r="C609" s="5"/>
    </row>
    <row r="610" spans="2:3" ht="14.25" customHeight="1" x14ac:dyDescent="0.35">
      <c r="B610" s="4"/>
      <c r="C610" s="5"/>
    </row>
    <row r="611" spans="2:3" ht="14.25" customHeight="1" x14ac:dyDescent="0.35">
      <c r="B611" s="4"/>
      <c r="C611" s="5"/>
    </row>
    <row r="612" spans="2:3" ht="14.25" customHeight="1" x14ac:dyDescent="0.35">
      <c r="B612" s="4"/>
      <c r="C612" s="5"/>
    </row>
    <row r="613" spans="2:3" ht="14.25" customHeight="1" x14ac:dyDescent="0.35">
      <c r="B613" s="4"/>
      <c r="C613" s="5"/>
    </row>
    <row r="614" spans="2:3" ht="14.25" customHeight="1" x14ac:dyDescent="0.35">
      <c r="B614" s="4"/>
      <c r="C614" s="5"/>
    </row>
    <row r="615" spans="2:3" ht="14.25" customHeight="1" x14ac:dyDescent="0.35">
      <c r="B615" s="4"/>
      <c r="C615" s="5"/>
    </row>
    <row r="616" spans="2:3" ht="14.25" customHeight="1" x14ac:dyDescent="0.35">
      <c r="B616" s="4"/>
      <c r="C616" s="5"/>
    </row>
    <row r="617" spans="2:3" ht="14.25" customHeight="1" x14ac:dyDescent="0.35">
      <c r="B617" s="4"/>
      <c r="C617" s="5"/>
    </row>
    <row r="618" spans="2:3" ht="14.25" customHeight="1" x14ac:dyDescent="0.35">
      <c r="B618" s="4"/>
      <c r="C618" s="5"/>
    </row>
    <row r="619" spans="2:3" ht="14.25" customHeight="1" x14ac:dyDescent="0.35">
      <c r="B619" s="4"/>
      <c r="C619" s="5"/>
    </row>
    <row r="620" spans="2:3" ht="14.25" customHeight="1" x14ac:dyDescent="0.35">
      <c r="B620" s="4"/>
      <c r="C620" s="5"/>
    </row>
    <row r="621" spans="2:3" ht="14.25" customHeight="1" x14ac:dyDescent="0.35">
      <c r="B621" s="4"/>
      <c r="C621" s="5"/>
    </row>
    <row r="622" spans="2:3" ht="14.25" customHeight="1" x14ac:dyDescent="0.35">
      <c r="B622" s="4"/>
      <c r="C622" s="5"/>
    </row>
    <row r="623" spans="2:3" ht="14.25" customHeight="1" x14ac:dyDescent="0.35">
      <c r="B623" s="4"/>
      <c r="C623" s="5"/>
    </row>
    <row r="624" spans="2:3" ht="14.25" customHeight="1" x14ac:dyDescent="0.35">
      <c r="B624" s="4"/>
      <c r="C624" s="5"/>
    </row>
    <row r="625" spans="2:3" ht="14.25" customHeight="1" x14ac:dyDescent="0.35">
      <c r="B625" s="4"/>
      <c r="C625" s="5"/>
    </row>
    <row r="626" spans="2:3" ht="14.25" customHeight="1" x14ac:dyDescent="0.35">
      <c r="B626" s="4"/>
      <c r="C626" s="5"/>
    </row>
    <row r="627" spans="2:3" ht="14.25" customHeight="1" x14ac:dyDescent="0.35">
      <c r="B627" s="4"/>
      <c r="C627" s="5"/>
    </row>
    <row r="628" spans="2:3" ht="14.25" customHeight="1" x14ac:dyDescent="0.35">
      <c r="B628" s="4"/>
      <c r="C628" s="5"/>
    </row>
    <row r="629" spans="2:3" ht="14.25" customHeight="1" x14ac:dyDescent="0.35">
      <c r="B629" s="4"/>
      <c r="C629" s="5"/>
    </row>
    <row r="630" spans="2:3" ht="14.25" customHeight="1" x14ac:dyDescent="0.35">
      <c r="B630" s="4"/>
      <c r="C630" s="5"/>
    </row>
    <row r="631" spans="2:3" ht="14.25" customHeight="1" x14ac:dyDescent="0.35">
      <c r="B631" s="4"/>
      <c r="C631" s="5"/>
    </row>
    <row r="632" spans="2:3" ht="14.25" customHeight="1" x14ac:dyDescent="0.35">
      <c r="B632" s="4"/>
      <c r="C632" s="5"/>
    </row>
    <row r="633" spans="2:3" ht="14.25" customHeight="1" x14ac:dyDescent="0.35">
      <c r="B633" s="4"/>
      <c r="C633" s="5"/>
    </row>
    <row r="634" spans="2:3" ht="14.25" customHeight="1" x14ac:dyDescent="0.35">
      <c r="B634" s="4"/>
      <c r="C634" s="5"/>
    </row>
    <row r="635" spans="2:3" ht="14.25" customHeight="1" x14ac:dyDescent="0.35">
      <c r="B635" s="4"/>
      <c r="C635" s="5"/>
    </row>
    <row r="636" spans="2:3" ht="14.25" customHeight="1" x14ac:dyDescent="0.35">
      <c r="B636" s="4"/>
      <c r="C636" s="5"/>
    </row>
    <row r="637" spans="2:3" ht="14.25" customHeight="1" x14ac:dyDescent="0.35">
      <c r="B637" s="4"/>
      <c r="C637" s="5"/>
    </row>
    <row r="638" spans="2:3" ht="14.25" customHeight="1" x14ac:dyDescent="0.35">
      <c r="B638" s="4"/>
      <c r="C638" s="5"/>
    </row>
    <row r="639" spans="2:3" ht="14.25" customHeight="1" x14ac:dyDescent="0.35">
      <c r="B639" s="4"/>
      <c r="C639" s="5"/>
    </row>
    <row r="640" spans="2:3" ht="14.25" customHeight="1" x14ac:dyDescent="0.35">
      <c r="B640" s="4"/>
      <c r="C640" s="5"/>
    </row>
    <row r="641" spans="2:3" ht="14.25" customHeight="1" x14ac:dyDescent="0.35">
      <c r="B641" s="4"/>
      <c r="C641" s="5"/>
    </row>
    <row r="642" spans="2:3" ht="14.25" customHeight="1" x14ac:dyDescent="0.35">
      <c r="B642" s="4"/>
      <c r="C642" s="5"/>
    </row>
    <row r="643" spans="2:3" ht="14.25" customHeight="1" x14ac:dyDescent="0.35">
      <c r="B643" s="4"/>
      <c r="C643" s="5"/>
    </row>
    <row r="644" spans="2:3" ht="14.25" customHeight="1" x14ac:dyDescent="0.35">
      <c r="B644" s="4"/>
      <c r="C644" s="5"/>
    </row>
    <row r="645" spans="2:3" ht="14.25" customHeight="1" x14ac:dyDescent="0.35">
      <c r="B645" s="4"/>
      <c r="C645" s="5"/>
    </row>
    <row r="646" spans="2:3" ht="14.25" customHeight="1" x14ac:dyDescent="0.35">
      <c r="B646" s="4"/>
      <c r="C646" s="5"/>
    </row>
    <row r="647" spans="2:3" ht="14.25" customHeight="1" x14ac:dyDescent="0.35">
      <c r="B647" s="4"/>
      <c r="C647" s="5"/>
    </row>
    <row r="648" spans="2:3" ht="14.25" customHeight="1" x14ac:dyDescent="0.35">
      <c r="B648" s="4"/>
      <c r="C648" s="5"/>
    </row>
    <row r="649" spans="2:3" ht="14.25" customHeight="1" x14ac:dyDescent="0.35">
      <c r="B649" s="4"/>
      <c r="C649" s="5"/>
    </row>
    <row r="650" spans="2:3" ht="14.25" customHeight="1" x14ac:dyDescent="0.35">
      <c r="B650" s="4"/>
      <c r="C650" s="5"/>
    </row>
    <row r="651" spans="2:3" ht="14.25" customHeight="1" x14ac:dyDescent="0.35">
      <c r="B651" s="4"/>
      <c r="C651" s="5"/>
    </row>
    <row r="652" spans="2:3" ht="14.25" customHeight="1" x14ac:dyDescent="0.35">
      <c r="B652" s="4"/>
      <c r="C652" s="5"/>
    </row>
    <row r="653" spans="2:3" ht="14.25" customHeight="1" x14ac:dyDescent="0.35">
      <c r="B653" s="4"/>
      <c r="C653" s="5"/>
    </row>
    <row r="654" spans="2:3" ht="14.25" customHeight="1" x14ac:dyDescent="0.35">
      <c r="B654" s="4"/>
      <c r="C654" s="5"/>
    </row>
    <row r="655" spans="2:3" ht="14.25" customHeight="1" x14ac:dyDescent="0.35">
      <c r="B655" s="4"/>
      <c r="C655" s="5"/>
    </row>
    <row r="656" spans="2:3" ht="14.25" customHeight="1" x14ac:dyDescent="0.35">
      <c r="B656" s="4"/>
      <c r="C656" s="5"/>
    </row>
    <row r="657" spans="2:3" ht="14.25" customHeight="1" x14ac:dyDescent="0.35">
      <c r="B657" s="4"/>
      <c r="C657" s="5"/>
    </row>
    <row r="658" spans="2:3" ht="14.25" customHeight="1" x14ac:dyDescent="0.35">
      <c r="B658" s="4"/>
      <c r="C658" s="5"/>
    </row>
    <row r="659" spans="2:3" ht="14.25" customHeight="1" x14ac:dyDescent="0.35">
      <c r="B659" s="4"/>
      <c r="C659" s="5"/>
    </row>
    <row r="660" spans="2:3" ht="14.25" customHeight="1" x14ac:dyDescent="0.35">
      <c r="B660" s="4"/>
      <c r="C660" s="5"/>
    </row>
    <row r="661" spans="2:3" ht="14.25" customHeight="1" x14ac:dyDescent="0.35">
      <c r="B661" s="4"/>
      <c r="C661" s="5"/>
    </row>
    <row r="662" spans="2:3" ht="14.25" customHeight="1" x14ac:dyDescent="0.35">
      <c r="B662" s="4"/>
      <c r="C662" s="5"/>
    </row>
    <row r="663" spans="2:3" ht="14.25" customHeight="1" x14ac:dyDescent="0.35">
      <c r="B663" s="4"/>
      <c r="C663" s="5"/>
    </row>
    <row r="664" spans="2:3" ht="14.25" customHeight="1" x14ac:dyDescent="0.35">
      <c r="B664" s="4"/>
      <c r="C664" s="5"/>
    </row>
    <row r="665" spans="2:3" ht="14.25" customHeight="1" x14ac:dyDescent="0.35">
      <c r="B665" s="4"/>
      <c r="C665" s="5"/>
    </row>
    <row r="666" spans="2:3" ht="14.25" customHeight="1" x14ac:dyDescent="0.35">
      <c r="B666" s="4"/>
      <c r="C666" s="5"/>
    </row>
    <row r="667" spans="2:3" ht="14.25" customHeight="1" x14ac:dyDescent="0.35">
      <c r="B667" s="4"/>
      <c r="C667" s="5"/>
    </row>
    <row r="668" spans="2:3" ht="14.25" customHeight="1" x14ac:dyDescent="0.35">
      <c r="B668" s="4"/>
      <c r="C668" s="5"/>
    </row>
    <row r="669" spans="2:3" ht="14.25" customHeight="1" x14ac:dyDescent="0.35">
      <c r="B669" s="4"/>
      <c r="C669" s="5"/>
    </row>
    <row r="670" spans="2:3" ht="14.25" customHeight="1" x14ac:dyDescent="0.35">
      <c r="B670" s="4"/>
      <c r="C670" s="5"/>
    </row>
    <row r="671" spans="2:3" ht="14.25" customHeight="1" x14ac:dyDescent="0.35">
      <c r="B671" s="4"/>
      <c r="C671" s="5"/>
    </row>
    <row r="672" spans="2:3" ht="14.25" customHeight="1" x14ac:dyDescent="0.35">
      <c r="B672" s="4"/>
      <c r="C672" s="5"/>
    </row>
    <row r="673" spans="2:3" ht="14.25" customHeight="1" x14ac:dyDescent="0.35">
      <c r="B673" s="4"/>
      <c r="C673" s="5"/>
    </row>
    <row r="674" spans="2:3" ht="14.25" customHeight="1" x14ac:dyDescent="0.35">
      <c r="B674" s="4"/>
      <c r="C674" s="5"/>
    </row>
    <row r="675" spans="2:3" ht="14.25" customHeight="1" x14ac:dyDescent="0.35">
      <c r="B675" s="4"/>
      <c r="C675" s="5"/>
    </row>
    <row r="676" spans="2:3" ht="14.25" customHeight="1" x14ac:dyDescent="0.35">
      <c r="B676" s="4"/>
      <c r="C676" s="5"/>
    </row>
    <row r="677" spans="2:3" ht="14.25" customHeight="1" x14ac:dyDescent="0.35">
      <c r="B677" s="4"/>
      <c r="C677" s="5"/>
    </row>
    <row r="678" spans="2:3" ht="14.25" customHeight="1" x14ac:dyDescent="0.35">
      <c r="B678" s="4"/>
      <c r="C678" s="5"/>
    </row>
    <row r="679" spans="2:3" ht="14.25" customHeight="1" x14ac:dyDescent="0.35">
      <c r="B679" s="4"/>
      <c r="C679" s="5"/>
    </row>
    <row r="680" spans="2:3" ht="14.25" customHeight="1" x14ac:dyDescent="0.35">
      <c r="B680" s="4"/>
      <c r="C680" s="5"/>
    </row>
    <row r="681" spans="2:3" ht="14.25" customHeight="1" x14ac:dyDescent="0.35">
      <c r="B681" s="4"/>
      <c r="C681" s="5"/>
    </row>
    <row r="682" spans="2:3" ht="14.25" customHeight="1" x14ac:dyDescent="0.35">
      <c r="B682" s="4"/>
      <c r="C682" s="5"/>
    </row>
    <row r="683" spans="2:3" ht="14.25" customHeight="1" x14ac:dyDescent="0.35">
      <c r="B683" s="4"/>
      <c r="C683" s="5"/>
    </row>
    <row r="684" spans="2:3" ht="14.25" customHeight="1" x14ac:dyDescent="0.35">
      <c r="B684" s="4"/>
      <c r="C684" s="5"/>
    </row>
    <row r="685" spans="2:3" ht="14.25" customHeight="1" x14ac:dyDescent="0.35">
      <c r="B685" s="4"/>
      <c r="C685" s="5"/>
    </row>
    <row r="686" spans="2:3" ht="14.25" customHeight="1" x14ac:dyDescent="0.35">
      <c r="B686" s="4"/>
      <c r="C686" s="5"/>
    </row>
    <row r="687" spans="2:3" ht="14.25" customHeight="1" x14ac:dyDescent="0.35">
      <c r="B687" s="4"/>
      <c r="C687" s="5"/>
    </row>
    <row r="688" spans="2:3" ht="14.25" customHeight="1" x14ac:dyDescent="0.35">
      <c r="B688" s="4"/>
      <c r="C688" s="5"/>
    </row>
    <row r="689" spans="2:3" ht="14.25" customHeight="1" x14ac:dyDescent="0.35">
      <c r="B689" s="4"/>
      <c r="C689" s="5"/>
    </row>
    <row r="690" spans="2:3" ht="14.25" customHeight="1" x14ac:dyDescent="0.35">
      <c r="B690" s="4"/>
      <c r="C690" s="5"/>
    </row>
    <row r="691" spans="2:3" ht="14.25" customHeight="1" x14ac:dyDescent="0.35">
      <c r="B691" s="4"/>
      <c r="C691" s="5"/>
    </row>
    <row r="692" spans="2:3" ht="14.25" customHeight="1" x14ac:dyDescent="0.35">
      <c r="B692" s="4"/>
      <c r="C692" s="5"/>
    </row>
    <row r="693" spans="2:3" ht="14.25" customHeight="1" x14ac:dyDescent="0.35">
      <c r="B693" s="4"/>
      <c r="C693" s="5"/>
    </row>
    <row r="694" spans="2:3" ht="14.25" customHeight="1" x14ac:dyDescent="0.35">
      <c r="B694" s="4"/>
      <c r="C694" s="5"/>
    </row>
    <row r="695" spans="2:3" ht="14.25" customHeight="1" x14ac:dyDescent="0.35">
      <c r="B695" s="4"/>
      <c r="C695" s="5"/>
    </row>
    <row r="696" spans="2:3" ht="14.25" customHeight="1" x14ac:dyDescent="0.35">
      <c r="B696" s="4"/>
      <c r="C696" s="5"/>
    </row>
    <row r="697" spans="2:3" ht="14.25" customHeight="1" x14ac:dyDescent="0.35">
      <c r="B697" s="4"/>
      <c r="C697" s="5"/>
    </row>
    <row r="698" spans="2:3" ht="14.25" customHeight="1" x14ac:dyDescent="0.35">
      <c r="B698" s="4"/>
      <c r="C698" s="5"/>
    </row>
    <row r="699" spans="2:3" ht="14.25" customHeight="1" x14ac:dyDescent="0.35">
      <c r="B699" s="4"/>
      <c r="C699" s="5"/>
    </row>
    <row r="700" spans="2:3" ht="14.25" customHeight="1" x14ac:dyDescent="0.35">
      <c r="B700" s="4"/>
      <c r="C700" s="5"/>
    </row>
    <row r="701" spans="2:3" ht="14.25" customHeight="1" x14ac:dyDescent="0.35">
      <c r="B701" s="4"/>
      <c r="C701" s="5"/>
    </row>
    <row r="702" spans="2:3" ht="14.25" customHeight="1" x14ac:dyDescent="0.35">
      <c r="B702" s="4"/>
      <c r="C702" s="5"/>
    </row>
    <row r="703" spans="2:3" ht="14.25" customHeight="1" x14ac:dyDescent="0.35">
      <c r="B703" s="4"/>
      <c r="C703" s="5"/>
    </row>
    <row r="704" spans="2:3" ht="14.25" customHeight="1" x14ac:dyDescent="0.35">
      <c r="B704" s="4"/>
      <c r="C704" s="5"/>
    </row>
    <row r="705" spans="2:3" ht="14.25" customHeight="1" x14ac:dyDescent="0.35">
      <c r="B705" s="4"/>
      <c r="C705" s="5"/>
    </row>
    <row r="706" spans="2:3" ht="14.25" customHeight="1" x14ac:dyDescent="0.35">
      <c r="B706" s="4"/>
      <c r="C706" s="5"/>
    </row>
    <row r="707" spans="2:3" ht="14.25" customHeight="1" x14ac:dyDescent="0.35">
      <c r="B707" s="4"/>
      <c r="C707" s="5"/>
    </row>
    <row r="708" spans="2:3" ht="14.25" customHeight="1" x14ac:dyDescent="0.35">
      <c r="B708" s="4"/>
      <c r="C708" s="5"/>
    </row>
    <row r="709" spans="2:3" ht="14.25" customHeight="1" x14ac:dyDescent="0.35">
      <c r="B709" s="4"/>
      <c r="C709" s="5"/>
    </row>
    <row r="710" spans="2:3" ht="14.25" customHeight="1" x14ac:dyDescent="0.35">
      <c r="B710" s="4"/>
      <c r="C710" s="5"/>
    </row>
    <row r="711" spans="2:3" ht="14.25" customHeight="1" x14ac:dyDescent="0.35">
      <c r="B711" s="4"/>
      <c r="C711" s="5"/>
    </row>
    <row r="712" spans="2:3" ht="14.25" customHeight="1" x14ac:dyDescent="0.35">
      <c r="B712" s="4"/>
      <c r="C712" s="5"/>
    </row>
    <row r="713" spans="2:3" ht="14.25" customHeight="1" x14ac:dyDescent="0.35">
      <c r="B713" s="4"/>
      <c r="C713" s="5"/>
    </row>
    <row r="714" spans="2:3" ht="14.25" customHeight="1" x14ac:dyDescent="0.35">
      <c r="B714" s="4"/>
      <c r="C714" s="5"/>
    </row>
    <row r="715" spans="2:3" ht="14.25" customHeight="1" x14ac:dyDescent="0.35">
      <c r="B715" s="4"/>
      <c r="C715" s="5"/>
    </row>
    <row r="716" spans="2:3" ht="14.25" customHeight="1" x14ac:dyDescent="0.35">
      <c r="B716" s="4"/>
      <c r="C716" s="5"/>
    </row>
    <row r="717" spans="2:3" ht="14.25" customHeight="1" x14ac:dyDescent="0.35">
      <c r="B717" s="4"/>
      <c r="C717" s="5"/>
    </row>
    <row r="718" spans="2:3" ht="14.25" customHeight="1" x14ac:dyDescent="0.35">
      <c r="B718" s="4"/>
      <c r="C718" s="5"/>
    </row>
    <row r="719" spans="2:3" ht="14.25" customHeight="1" x14ac:dyDescent="0.35">
      <c r="B719" s="4"/>
      <c r="C719" s="5"/>
    </row>
    <row r="720" spans="2:3" ht="14.25" customHeight="1" x14ac:dyDescent="0.35">
      <c r="B720" s="4"/>
      <c r="C720" s="5"/>
    </row>
    <row r="721" spans="2:3" ht="14.25" customHeight="1" x14ac:dyDescent="0.35">
      <c r="B721" s="4"/>
      <c r="C721" s="5"/>
    </row>
    <row r="722" spans="2:3" ht="14.25" customHeight="1" x14ac:dyDescent="0.35">
      <c r="B722" s="4"/>
      <c r="C722" s="5"/>
    </row>
    <row r="723" spans="2:3" ht="14.25" customHeight="1" x14ac:dyDescent="0.35">
      <c r="B723" s="4"/>
      <c r="C723" s="5"/>
    </row>
    <row r="724" spans="2:3" ht="14.25" customHeight="1" x14ac:dyDescent="0.35">
      <c r="B724" s="4"/>
      <c r="C724" s="5"/>
    </row>
    <row r="725" spans="2:3" ht="14.25" customHeight="1" x14ac:dyDescent="0.35">
      <c r="B725" s="4"/>
      <c r="C725" s="5"/>
    </row>
    <row r="726" spans="2:3" ht="14.25" customHeight="1" x14ac:dyDescent="0.35">
      <c r="B726" s="4"/>
      <c r="C726" s="5"/>
    </row>
    <row r="727" spans="2:3" ht="14.25" customHeight="1" x14ac:dyDescent="0.35">
      <c r="B727" s="4"/>
      <c r="C727" s="5"/>
    </row>
    <row r="728" spans="2:3" ht="14.25" customHeight="1" x14ac:dyDescent="0.35">
      <c r="B728" s="4"/>
      <c r="C728" s="5"/>
    </row>
    <row r="729" spans="2:3" ht="14.25" customHeight="1" x14ac:dyDescent="0.35">
      <c r="B729" s="4"/>
      <c r="C729" s="5"/>
    </row>
    <row r="730" spans="2:3" ht="14.25" customHeight="1" x14ac:dyDescent="0.35">
      <c r="B730" s="4"/>
      <c r="C730" s="5"/>
    </row>
    <row r="731" spans="2:3" ht="14.25" customHeight="1" x14ac:dyDescent="0.35">
      <c r="B731" s="4"/>
      <c r="C731" s="5"/>
    </row>
    <row r="732" spans="2:3" ht="14.25" customHeight="1" x14ac:dyDescent="0.35">
      <c r="B732" s="4"/>
      <c r="C732" s="5"/>
    </row>
    <row r="733" spans="2:3" ht="14.25" customHeight="1" x14ac:dyDescent="0.35">
      <c r="B733" s="4"/>
      <c r="C733" s="5"/>
    </row>
    <row r="734" spans="2:3" ht="14.25" customHeight="1" x14ac:dyDescent="0.35">
      <c r="B734" s="4"/>
      <c r="C734" s="5"/>
    </row>
    <row r="735" spans="2:3" ht="14.25" customHeight="1" x14ac:dyDescent="0.35">
      <c r="B735" s="4"/>
      <c r="C735" s="5"/>
    </row>
    <row r="736" spans="2:3" ht="14.25" customHeight="1" x14ac:dyDescent="0.35">
      <c r="B736" s="4"/>
      <c r="C736" s="5"/>
    </row>
    <row r="737" spans="2:3" ht="14.25" customHeight="1" x14ac:dyDescent="0.35">
      <c r="B737" s="4"/>
      <c r="C737" s="5"/>
    </row>
    <row r="738" spans="2:3" ht="14.25" customHeight="1" x14ac:dyDescent="0.35">
      <c r="B738" s="4"/>
      <c r="C738" s="5"/>
    </row>
    <row r="739" spans="2:3" ht="14.25" customHeight="1" x14ac:dyDescent="0.35">
      <c r="B739" s="4"/>
      <c r="C739" s="5"/>
    </row>
    <row r="740" spans="2:3" ht="14.25" customHeight="1" x14ac:dyDescent="0.35">
      <c r="B740" s="4"/>
      <c r="C740" s="5"/>
    </row>
    <row r="741" spans="2:3" ht="14.25" customHeight="1" x14ac:dyDescent="0.35">
      <c r="B741" s="4"/>
      <c r="C741" s="5"/>
    </row>
    <row r="742" spans="2:3" ht="14.25" customHeight="1" x14ac:dyDescent="0.35">
      <c r="B742" s="4"/>
      <c r="C742" s="5"/>
    </row>
    <row r="743" spans="2:3" ht="14.25" customHeight="1" x14ac:dyDescent="0.35">
      <c r="B743" s="4"/>
      <c r="C743" s="5"/>
    </row>
    <row r="744" spans="2:3" ht="14.25" customHeight="1" x14ac:dyDescent="0.35">
      <c r="B744" s="4"/>
      <c r="C744" s="5"/>
    </row>
    <row r="745" spans="2:3" ht="14.25" customHeight="1" x14ac:dyDescent="0.35">
      <c r="B745" s="4"/>
      <c r="C745" s="5"/>
    </row>
    <row r="746" spans="2:3" ht="14.25" customHeight="1" x14ac:dyDescent="0.35">
      <c r="B746" s="4"/>
      <c r="C746" s="5"/>
    </row>
    <row r="747" spans="2:3" ht="14.25" customHeight="1" x14ac:dyDescent="0.35">
      <c r="B747" s="4"/>
      <c r="C747" s="5"/>
    </row>
    <row r="748" spans="2:3" ht="14.25" customHeight="1" x14ac:dyDescent="0.35">
      <c r="B748" s="4"/>
      <c r="C748" s="5"/>
    </row>
    <row r="749" spans="2:3" ht="14.25" customHeight="1" x14ac:dyDescent="0.35">
      <c r="B749" s="4"/>
      <c r="C749" s="5"/>
    </row>
    <row r="750" spans="2:3" ht="14.25" customHeight="1" x14ac:dyDescent="0.35">
      <c r="B750" s="4"/>
      <c r="C750" s="5"/>
    </row>
    <row r="751" spans="2:3" ht="14.25" customHeight="1" x14ac:dyDescent="0.35">
      <c r="B751" s="4"/>
      <c r="C751" s="5"/>
    </row>
    <row r="752" spans="2:3" ht="14.25" customHeight="1" x14ac:dyDescent="0.35">
      <c r="B752" s="4"/>
      <c r="C752" s="5"/>
    </row>
    <row r="753" spans="2:3" ht="14.25" customHeight="1" x14ac:dyDescent="0.35">
      <c r="B753" s="4"/>
      <c r="C753" s="5"/>
    </row>
    <row r="754" spans="2:3" ht="14.25" customHeight="1" x14ac:dyDescent="0.35">
      <c r="B754" s="4"/>
      <c r="C754" s="5"/>
    </row>
    <row r="755" spans="2:3" ht="14.25" customHeight="1" x14ac:dyDescent="0.35">
      <c r="B755" s="4"/>
      <c r="C755" s="5"/>
    </row>
    <row r="756" spans="2:3" ht="14.25" customHeight="1" x14ac:dyDescent="0.35">
      <c r="B756" s="4"/>
      <c r="C756" s="5"/>
    </row>
    <row r="757" spans="2:3" ht="14.25" customHeight="1" x14ac:dyDescent="0.35">
      <c r="B757" s="4"/>
      <c r="C757" s="5"/>
    </row>
    <row r="758" spans="2:3" ht="14.25" customHeight="1" x14ac:dyDescent="0.35">
      <c r="B758" s="4"/>
      <c r="C758" s="5"/>
    </row>
    <row r="759" spans="2:3" ht="14.25" customHeight="1" x14ac:dyDescent="0.35">
      <c r="B759" s="4"/>
      <c r="C759" s="5"/>
    </row>
    <row r="760" spans="2:3" ht="14.25" customHeight="1" x14ac:dyDescent="0.35">
      <c r="B760" s="4"/>
      <c r="C760" s="5"/>
    </row>
    <row r="761" spans="2:3" ht="14.25" customHeight="1" x14ac:dyDescent="0.35">
      <c r="B761" s="4"/>
      <c r="C761" s="5"/>
    </row>
    <row r="762" spans="2:3" ht="14.25" customHeight="1" x14ac:dyDescent="0.35">
      <c r="B762" s="4"/>
      <c r="C762" s="5"/>
    </row>
    <row r="763" spans="2:3" ht="14.25" customHeight="1" x14ac:dyDescent="0.35">
      <c r="B763" s="4"/>
      <c r="C763" s="5"/>
    </row>
    <row r="764" spans="2:3" ht="14.25" customHeight="1" x14ac:dyDescent="0.35">
      <c r="B764" s="4"/>
      <c r="C764" s="5"/>
    </row>
    <row r="765" spans="2:3" ht="14.25" customHeight="1" x14ac:dyDescent="0.35">
      <c r="B765" s="4"/>
      <c r="C765" s="5"/>
    </row>
    <row r="766" spans="2:3" ht="14.25" customHeight="1" x14ac:dyDescent="0.35">
      <c r="B766" s="4"/>
      <c r="C766" s="5"/>
    </row>
    <row r="767" spans="2:3" ht="14.25" customHeight="1" x14ac:dyDescent="0.35">
      <c r="B767" s="4"/>
      <c r="C767" s="5"/>
    </row>
    <row r="768" spans="2:3" ht="14.25" customHeight="1" x14ac:dyDescent="0.35">
      <c r="B768" s="4"/>
      <c r="C768" s="5"/>
    </row>
    <row r="769" spans="2:3" ht="14.25" customHeight="1" x14ac:dyDescent="0.35">
      <c r="B769" s="4"/>
      <c r="C769" s="5"/>
    </row>
    <row r="770" spans="2:3" ht="14.25" customHeight="1" x14ac:dyDescent="0.35">
      <c r="B770" s="4"/>
      <c r="C770" s="5"/>
    </row>
    <row r="771" spans="2:3" ht="14.25" customHeight="1" x14ac:dyDescent="0.35">
      <c r="B771" s="4"/>
      <c r="C771" s="5"/>
    </row>
    <row r="772" spans="2:3" ht="14.25" customHeight="1" x14ac:dyDescent="0.35">
      <c r="B772" s="4"/>
      <c r="C772" s="5"/>
    </row>
    <row r="773" spans="2:3" ht="14.25" customHeight="1" x14ac:dyDescent="0.35">
      <c r="B773" s="4"/>
      <c r="C773" s="5"/>
    </row>
    <row r="774" spans="2:3" ht="14.25" customHeight="1" x14ac:dyDescent="0.35">
      <c r="B774" s="4"/>
      <c r="C774" s="5"/>
    </row>
    <row r="775" spans="2:3" ht="14.25" customHeight="1" x14ac:dyDescent="0.35">
      <c r="B775" s="4"/>
      <c r="C775" s="5"/>
    </row>
    <row r="776" spans="2:3" ht="14.25" customHeight="1" x14ac:dyDescent="0.35">
      <c r="B776" s="4"/>
      <c r="C776" s="5"/>
    </row>
    <row r="777" spans="2:3" ht="14.25" customHeight="1" x14ac:dyDescent="0.35">
      <c r="B777" s="4"/>
      <c r="C777" s="5"/>
    </row>
    <row r="778" spans="2:3" ht="14.25" customHeight="1" x14ac:dyDescent="0.35">
      <c r="B778" s="4"/>
      <c r="C778" s="5"/>
    </row>
    <row r="779" spans="2:3" ht="14.25" customHeight="1" x14ac:dyDescent="0.35">
      <c r="B779" s="4"/>
      <c r="C779" s="5"/>
    </row>
    <row r="780" spans="2:3" ht="14.25" customHeight="1" x14ac:dyDescent="0.35">
      <c r="B780" s="4"/>
      <c r="C780" s="5"/>
    </row>
    <row r="781" spans="2:3" ht="14.25" customHeight="1" x14ac:dyDescent="0.35">
      <c r="B781" s="4"/>
      <c r="C781" s="5"/>
    </row>
    <row r="782" spans="2:3" ht="14.25" customHeight="1" x14ac:dyDescent="0.35">
      <c r="B782" s="4"/>
      <c r="C782" s="5"/>
    </row>
    <row r="783" spans="2:3" ht="14.25" customHeight="1" x14ac:dyDescent="0.35">
      <c r="B783" s="4"/>
      <c r="C783" s="5"/>
    </row>
    <row r="784" spans="2:3" ht="14.25" customHeight="1" x14ac:dyDescent="0.35">
      <c r="B784" s="4"/>
      <c r="C784" s="5"/>
    </row>
    <row r="785" spans="2:3" ht="14.25" customHeight="1" x14ac:dyDescent="0.35">
      <c r="B785" s="4"/>
      <c r="C785" s="5"/>
    </row>
    <row r="786" spans="2:3" ht="14.25" customHeight="1" x14ac:dyDescent="0.35">
      <c r="B786" s="4"/>
      <c r="C786" s="5"/>
    </row>
    <row r="787" spans="2:3" ht="14.25" customHeight="1" x14ac:dyDescent="0.35">
      <c r="B787" s="4"/>
      <c r="C787" s="5"/>
    </row>
    <row r="788" spans="2:3" ht="14.25" customHeight="1" x14ac:dyDescent="0.35">
      <c r="B788" s="4"/>
      <c r="C788" s="5"/>
    </row>
    <row r="789" spans="2:3" ht="14.25" customHeight="1" x14ac:dyDescent="0.35">
      <c r="B789" s="4"/>
      <c r="C789" s="5"/>
    </row>
    <row r="790" spans="2:3" ht="14.25" customHeight="1" x14ac:dyDescent="0.35">
      <c r="B790" s="4"/>
      <c r="C790" s="5"/>
    </row>
    <row r="791" spans="2:3" ht="14.25" customHeight="1" x14ac:dyDescent="0.35">
      <c r="B791" s="4"/>
      <c r="C791" s="5"/>
    </row>
    <row r="792" spans="2:3" ht="14.25" customHeight="1" x14ac:dyDescent="0.35">
      <c r="B792" s="4"/>
      <c r="C792" s="5"/>
    </row>
    <row r="793" spans="2:3" ht="14.25" customHeight="1" x14ac:dyDescent="0.35">
      <c r="B793" s="4"/>
      <c r="C793" s="5"/>
    </row>
    <row r="794" spans="2:3" ht="14.25" customHeight="1" x14ac:dyDescent="0.35">
      <c r="B794" s="4"/>
      <c r="C794" s="5"/>
    </row>
    <row r="795" spans="2:3" ht="14.25" customHeight="1" x14ac:dyDescent="0.35">
      <c r="B795" s="4"/>
      <c r="C795" s="5"/>
    </row>
    <row r="796" spans="2:3" ht="14.25" customHeight="1" x14ac:dyDescent="0.35">
      <c r="B796" s="4"/>
      <c r="C796" s="5"/>
    </row>
    <row r="797" spans="2:3" ht="14.25" customHeight="1" x14ac:dyDescent="0.35">
      <c r="B797" s="4"/>
      <c r="C797" s="5"/>
    </row>
    <row r="798" spans="2:3" ht="14.25" customHeight="1" x14ac:dyDescent="0.35">
      <c r="B798" s="4"/>
      <c r="C798" s="5"/>
    </row>
    <row r="799" spans="2:3" ht="14.25" customHeight="1" x14ac:dyDescent="0.35">
      <c r="B799" s="4"/>
      <c r="C799" s="5"/>
    </row>
    <row r="800" spans="2:3" ht="14.25" customHeight="1" x14ac:dyDescent="0.35">
      <c r="B800" s="4"/>
      <c r="C800" s="5"/>
    </row>
    <row r="801" spans="2:3" ht="14.25" customHeight="1" x14ac:dyDescent="0.35">
      <c r="B801" s="4"/>
      <c r="C801" s="5"/>
    </row>
    <row r="802" spans="2:3" ht="14.25" customHeight="1" x14ac:dyDescent="0.35">
      <c r="B802" s="4"/>
      <c r="C802" s="5"/>
    </row>
    <row r="803" spans="2:3" ht="14.25" customHeight="1" x14ac:dyDescent="0.35">
      <c r="B803" s="4"/>
      <c r="C803" s="5"/>
    </row>
    <row r="804" spans="2:3" ht="14.25" customHeight="1" x14ac:dyDescent="0.35">
      <c r="B804" s="4"/>
      <c r="C804" s="5"/>
    </row>
    <row r="805" spans="2:3" ht="14.25" customHeight="1" x14ac:dyDescent="0.35">
      <c r="B805" s="4"/>
      <c r="C805" s="5"/>
    </row>
    <row r="806" spans="2:3" ht="14.25" customHeight="1" x14ac:dyDescent="0.35">
      <c r="B806" s="4"/>
      <c r="C806" s="5"/>
    </row>
    <row r="807" spans="2:3" ht="14.25" customHeight="1" x14ac:dyDescent="0.35">
      <c r="B807" s="4"/>
      <c r="C807" s="5"/>
    </row>
    <row r="808" spans="2:3" ht="14.25" customHeight="1" x14ac:dyDescent="0.35">
      <c r="B808" s="4"/>
      <c r="C808" s="5"/>
    </row>
    <row r="809" spans="2:3" ht="14.25" customHeight="1" x14ac:dyDescent="0.35">
      <c r="B809" s="4"/>
      <c r="C809" s="5"/>
    </row>
    <row r="810" spans="2:3" ht="14.25" customHeight="1" x14ac:dyDescent="0.35">
      <c r="B810" s="4"/>
      <c r="C810" s="5"/>
    </row>
    <row r="811" spans="2:3" ht="14.25" customHeight="1" x14ac:dyDescent="0.35">
      <c r="B811" s="4"/>
      <c r="C811" s="5"/>
    </row>
    <row r="812" spans="2:3" ht="14.25" customHeight="1" x14ac:dyDescent="0.35">
      <c r="B812" s="4"/>
      <c r="C812" s="5"/>
    </row>
    <row r="813" spans="2:3" ht="14.25" customHeight="1" x14ac:dyDescent="0.35">
      <c r="B813" s="4"/>
      <c r="C813" s="5"/>
    </row>
    <row r="814" spans="2:3" ht="14.25" customHeight="1" x14ac:dyDescent="0.35">
      <c r="B814" s="4"/>
      <c r="C814" s="5"/>
    </row>
    <row r="815" spans="2:3" ht="14.25" customHeight="1" x14ac:dyDescent="0.35">
      <c r="B815" s="4"/>
      <c r="C815" s="5"/>
    </row>
    <row r="816" spans="2:3" ht="14.25" customHeight="1" x14ac:dyDescent="0.35">
      <c r="B816" s="4"/>
      <c r="C816" s="5"/>
    </row>
    <row r="817" spans="2:3" ht="14.25" customHeight="1" x14ac:dyDescent="0.35">
      <c r="B817" s="4"/>
      <c r="C817" s="5"/>
    </row>
    <row r="818" spans="2:3" ht="14.25" customHeight="1" x14ac:dyDescent="0.35">
      <c r="B818" s="4"/>
      <c r="C818" s="5"/>
    </row>
    <row r="819" spans="2:3" ht="14.25" customHeight="1" x14ac:dyDescent="0.35">
      <c r="B819" s="4"/>
      <c r="C819" s="5"/>
    </row>
    <row r="820" spans="2:3" ht="14.25" customHeight="1" x14ac:dyDescent="0.35">
      <c r="B820" s="4"/>
      <c r="C820" s="5"/>
    </row>
    <row r="821" spans="2:3" ht="14.25" customHeight="1" x14ac:dyDescent="0.35">
      <c r="B821" s="4"/>
      <c r="C821" s="5"/>
    </row>
    <row r="822" spans="2:3" ht="14.25" customHeight="1" x14ac:dyDescent="0.35">
      <c r="B822" s="4"/>
      <c r="C822" s="5"/>
    </row>
    <row r="823" spans="2:3" ht="14.25" customHeight="1" x14ac:dyDescent="0.35">
      <c r="B823" s="4"/>
      <c r="C823" s="5"/>
    </row>
    <row r="824" spans="2:3" ht="14.25" customHeight="1" x14ac:dyDescent="0.35">
      <c r="B824" s="4"/>
      <c r="C824" s="5"/>
    </row>
    <row r="825" spans="2:3" ht="14.25" customHeight="1" x14ac:dyDescent="0.35">
      <c r="B825" s="4"/>
      <c r="C825" s="5"/>
    </row>
    <row r="826" spans="2:3" ht="14.25" customHeight="1" x14ac:dyDescent="0.35">
      <c r="B826" s="4"/>
      <c r="C826" s="5"/>
    </row>
    <row r="827" spans="2:3" ht="14.25" customHeight="1" x14ac:dyDescent="0.35">
      <c r="B827" s="4"/>
      <c r="C827" s="5"/>
    </row>
    <row r="828" spans="2:3" ht="14.25" customHeight="1" x14ac:dyDescent="0.35">
      <c r="B828" s="4"/>
      <c r="C828" s="5"/>
    </row>
    <row r="829" spans="2:3" ht="14.25" customHeight="1" x14ac:dyDescent="0.35">
      <c r="B829" s="4"/>
      <c r="C829" s="5"/>
    </row>
    <row r="830" spans="2:3" ht="14.25" customHeight="1" x14ac:dyDescent="0.35">
      <c r="B830" s="4"/>
      <c r="C830" s="5"/>
    </row>
    <row r="831" spans="2:3" ht="14.25" customHeight="1" x14ac:dyDescent="0.35">
      <c r="B831" s="4"/>
      <c r="C831" s="5"/>
    </row>
    <row r="832" spans="2:3" ht="14.25" customHeight="1" x14ac:dyDescent="0.35">
      <c r="B832" s="4"/>
      <c r="C832" s="5"/>
    </row>
    <row r="833" spans="2:3" ht="14.25" customHeight="1" x14ac:dyDescent="0.35">
      <c r="B833" s="4"/>
      <c r="C833" s="5"/>
    </row>
    <row r="834" spans="2:3" ht="14.25" customHeight="1" x14ac:dyDescent="0.35">
      <c r="B834" s="4"/>
      <c r="C834" s="5"/>
    </row>
    <row r="835" spans="2:3" ht="14.25" customHeight="1" x14ac:dyDescent="0.35">
      <c r="B835" s="4"/>
      <c r="C835" s="5"/>
    </row>
    <row r="836" spans="2:3" ht="14.25" customHeight="1" x14ac:dyDescent="0.35">
      <c r="B836" s="4"/>
      <c r="C836" s="5"/>
    </row>
    <row r="837" spans="2:3" ht="14.25" customHeight="1" x14ac:dyDescent="0.35">
      <c r="B837" s="4"/>
      <c r="C837" s="5"/>
    </row>
    <row r="838" spans="2:3" ht="14.25" customHeight="1" x14ac:dyDescent="0.35">
      <c r="B838" s="4"/>
      <c r="C838" s="5"/>
    </row>
    <row r="839" spans="2:3" ht="14.25" customHeight="1" x14ac:dyDescent="0.35">
      <c r="B839" s="4"/>
      <c r="C839" s="5"/>
    </row>
    <row r="840" spans="2:3" ht="14.25" customHeight="1" x14ac:dyDescent="0.35">
      <c r="B840" s="4"/>
      <c r="C840" s="5"/>
    </row>
    <row r="841" spans="2:3" ht="14.25" customHeight="1" x14ac:dyDescent="0.35">
      <c r="B841" s="4"/>
      <c r="C841" s="5"/>
    </row>
    <row r="842" spans="2:3" ht="14.25" customHeight="1" x14ac:dyDescent="0.35">
      <c r="B842" s="4"/>
      <c r="C842" s="5"/>
    </row>
    <row r="843" spans="2:3" ht="14.25" customHeight="1" x14ac:dyDescent="0.35">
      <c r="B843" s="4"/>
      <c r="C843" s="5"/>
    </row>
    <row r="844" spans="2:3" ht="14.25" customHeight="1" x14ac:dyDescent="0.35">
      <c r="B844" s="4"/>
      <c r="C844" s="5"/>
    </row>
    <row r="845" spans="2:3" ht="14.25" customHeight="1" x14ac:dyDescent="0.35">
      <c r="B845" s="4"/>
      <c r="C845" s="5"/>
    </row>
    <row r="846" spans="2:3" ht="14.25" customHeight="1" x14ac:dyDescent="0.35">
      <c r="B846" s="4"/>
      <c r="C846" s="5"/>
    </row>
    <row r="847" spans="2:3" ht="14.25" customHeight="1" x14ac:dyDescent="0.35">
      <c r="B847" s="4"/>
      <c r="C847" s="5"/>
    </row>
    <row r="848" spans="2:3" ht="14.25" customHeight="1" x14ac:dyDescent="0.35">
      <c r="B848" s="4"/>
      <c r="C848" s="5"/>
    </row>
    <row r="849" spans="2:3" ht="14.25" customHeight="1" x14ac:dyDescent="0.35">
      <c r="B849" s="4"/>
      <c r="C849" s="5"/>
    </row>
    <row r="850" spans="2:3" ht="14.25" customHeight="1" x14ac:dyDescent="0.35">
      <c r="B850" s="4"/>
      <c r="C850" s="5"/>
    </row>
    <row r="851" spans="2:3" ht="14.25" customHeight="1" x14ac:dyDescent="0.35">
      <c r="B851" s="4"/>
      <c r="C851" s="5"/>
    </row>
    <row r="852" spans="2:3" ht="14.25" customHeight="1" x14ac:dyDescent="0.35">
      <c r="B852" s="4"/>
      <c r="C852" s="5"/>
    </row>
    <row r="853" spans="2:3" ht="14.25" customHeight="1" x14ac:dyDescent="0.35">
      <c r="B853" s="4"/>
      <c r="C853" s="5"/>
    </row>
    <row r="854" spans="2:3" ht="14.25" customHeight="1" x14ac:dyDescent="0.35">
      <c r="B854" s="4"/>
      <c r="C854" s="5"/>
    </row>
    <row r="855" spans="2:3" ht="14.25" customHeight="1" x14ac:dyDescent="0.35">
      <c r="B855" s="4"/>
      <c r="C855" s="5"/>
    </row>
    <row r="856" spans="2:3" ht="14.25" customHeight="1" x14ac:dyDescent="0.35">
      <c r="B856" s="4"/>
      <c r="C856" s="5"/>
    </row>
    <row r="857" spans="2:3" ht="14.25" customHeight="1" x14ac:dyDescent="0.35">
      <c r="B857" s="4"/>
      <c r="C857" s="5"/>
    </row>
    <row r="858" spans="2:3" ht="14.25" customHeight="1" x14ac:dyDescent="0.35">
      <c r="B858" s="4"/>
      <c r="C858" s="5"/>
    </row>
    <row r="859" spans="2:3" ht="14.25" customHeight="1" x14ac:dyDescent="0.35">
      <c r="B859" s="4"/>
      <c r="C859" s="5"/>
    </row>
    <row r="860" spans="2:3" ht="14.25" customHeight="1" x14ac:dyDescent="0.35">
      <c r="B860" s="4"/>
      <c r="C860" s="5"/>
    </row>
    <row r="861" spans="2:3" ht="14.25" customHeight="1" x14ac:dyDescent="0.35">
      <c r="B861" s="4"/>
      <c r="C861" s="5"/>
    </row>
    <row r="862" spans="2:3" ht="14.25" customHeight="1" x14ac:dyDescent="0.35">
      <c r="B862" s="4"/>
      <c r="C862" s="5"/>
    </row>
    <row r="863" spans="2:3" ht="14.25" customHeight="1" x14ac:dyDescent="0.35">
      <c r="B863" s="4"/>
      <c r="C863" s="5"/>
    </row>
    <row r="864" spans="2:3" ht="14.25" customHeight="1" x14ac:dyDescent="0.35">
      <c r="B864" s="4"/>
      <c r="C864" s="5"/>
    </row>
    <row r="865" spans="2:3" ht="14.25" customHeight="1" x14ac:dyDescent="0.35">
      <c r="B865" s="4"/>
      <c r="C865" s="5"/>
    </row>
    <row r="866" spans="2:3" ht="14.25" customHeight="1" x14ac:dyDescent="0.35">
      <c r="B866" s="4"/>
      <c r="C866" s="5"/>
    </row>
    <row r="867" spans="2:3" ht="14.25" customHeight="1" x14ac:dyDescent="0.35">
      <c r="B867" s="4"/>
      <c r="C867" s="5"/>
    </row>
    <row r="868" spans="2:3" ht="14.25" customHeight="1" x14ac:dyDescent="0.35">
      <c r="B868" s="4"/>
      <c r="C868" s="5"/>
    </row>
    <row r="869" spans="2:3" ht="14.25" customHeight="1" x14ac:dyDescent="0.35">
      <c r="B869" s="4"/>
      <c r="C869" s="5"/>
    </row>
    <row r="870" spans="2:3" ht="14.25" customHeight="1" x14ac:dyDescent="0.35">
      <c r="B870" s="4"/>
      <c r="C870" s="5"/>
    </row>
    <row r="871" spans="2:3" ht="14.25" customHeight="1" x14ac:dyDescent="0.35">
      <c r="B871" s="4"/>
      <c r="C871" s="5"/>
    </row>
    <row r="872" spans="2:3" ht="14.25" customHeight="1" x14ac:dyDescent="0.35">
      <c r="B872" s="4"/>
      <c r="C872" s="5"/>
    </row>
    <row r="873" spans="2:3" ht="14.25" customHeight="1" x14ac:dyDescent="0.35">
      <c r="B873" s="4"/>
      <c r="C873" s="5"/>
    </row>
    <row r="874" spans="2:3" ht="14.25" customHeight="1" x14ac:dyDescent="0.35">
      <c r="B874" s="4"/>
      <c r="C874" s="5"/>
    </row>
    <row r="875" spans="2:3" ht="14.25" customHeight="1" x14ac:dyDescent="0.35">
      <c r="B875" s="4"/>
      <c r="C875" s="5"/>
    </row>
    <row r="876" spans="2:3" ht="14.25" customHeight="1" x14ac:dyDescent="0.35">
      <c r="B876" s="4"/>
      <c r="C876" s="5"/>
    </row>
    <row r="877" spans="2:3" ht="14.25" customHeight="1" x14ac:dyDescent="0.35">
      <c r="B877" s="4"/>
      <c r="C877" s="5"/>
    </row>
    <row r="878" spans="2:3" ht="14.25" customHeight="1" x14ac:dyDescent="0.35">
      <c r="B878" s="4"/>
      <c r="C878" s="5"/>
    </row>
    <row r="879" spans="2:3" ht="14.25" customHeight="1" x14ac:dyDescent="0.35">
      <c r="B879" s="4"/>
      <c r="C879" s="5"/>
    </row>
    <row r="880" spans="2:3" ht="14.25" customHeight="1" x14ac:dyDescent="0.35">
      <c r="B880" s="4"/>
      <c r="C880" s="5"/>
    </row>
    <row r="881" spans="2:3" ht="14.25" customHeight="1" x14ac:dyDescent="0.35">
      <c r="B881" s="4"/>
      <c r="C881" s="5"/>
    </row>
    <row r="882" spans="2:3" ht="14.25" customHeight="1" x14ac:dyDescent="0.35">
      <c r="B882" s="4"/>
      <c r="C882" s="5"/>
    </row>
    <row r="883" spans="2:3" ht="14.25" customHeight="1" x14ac:dyDescent="0.35">
      <c r="B883" s="4"/>
      <c r="C883" s="5"/>
    </row>
    <row r="884" spans="2:3" ht="14.25" customHeight="1" x14ac:dyDescent="0.35">
      <c r="B884" s="4"/>
      <c r="C884" s="5"/>
    </row>
    <row r="885" spans="2:3" ht="14.25" customHeight="1" x14ac:dyDescent="0.35">
      <c r="B885" s="4"/>
      <c r="C885" s="5"/>
    </row>
    <row r="886" spans="2:3" ht="14.25" customHeight="1" x14ac:dyDescent="0.35">
      <c r="B886" s="4"/>
      <c r="C886" s="5"/>
    </row>
    <row r="887" spans="2:3" ht="14.25" customHeight="1" x14ac:dyDescent="0.35">
      <c r="B887" s="4"/>
      <c r="C887" s="5"/>
    </row>
    <row r="888" spans="2:3" ht="14.25" customHeight="1" x14ac:dyDescent="0.35">
      <c r="B888" s="4"/>
      <c r="C888" s="5"/>
    </row>
    <row r="889" spans="2:3" ht="14.25" customHeight="1" x14ac:dyDescent="0.35">
      <c r="B889" s="4"/>
      <c r="C889" s="5"/>
    </row>
    <row r="890" spans="2:3" ht="14.25" customHeight="1" x14ac:dyDescent="0.35">
      <c r="B890" s="4"/>
      <c r="C890" s="5"/>
    </row>
    <row r="891" spans="2:3" ht="14.25" customHeight="1" x14ac:dyDescent="0.35">
      <c r="B891" s="4"/>
      <c r="C891" s="5"/>
    </row>
    <row r="892" spans="2:3" ht="14.25" customHeight="1" x14ac:dyDescent="0.35">
      <c r="B892" s="4"/>
      <c r="C892" s="5"/>
    </row>
    <row r="893" spans="2:3" ht="14.25" customHeight="1" x14ac:dyDescent="0.35">
      <c r="B893" s="4"/>
      <c r="C893" s="5"/>
    </row>
    <row r="894" spans="2:3" ht="14.25" customHeight="1" x14ac:dyDescent="0.35">
      <c r="B894" s="4"/>
      <c r="C894" s="5"/>
    </row>
    <row r="895" spans="2:3" ht="14.25" customHeight="1" x14ac:dyDescent="0.35">
      <c r="B895" s="4"/>
      <c r="C895" s="5"/>
    </row>
    <row r="896" spans="2:3" ht="14.25" customHeight="1" x14ac:dyDescent="0.35">
      <c r="B896" s="4"/>
      <c r="C896" s="5"/>
    </row>
    <row r="897" spans="2:3" ht="14.25" customHeight="1" x14ac:dyDescent="0.35">
      <c r="B897" s="4"/>
      <c r="C897" s="5"/>
    </row>
    <row r="898" spans="2:3" ht="14.25" customHeight="1" x14ac:dyDescent="0.35">
      <c r="B898" s="4"/>
      <c r="C898" s="5"/>
    </row>
    <row r="899" spans="2:3" ht="14.25" customHeight="1" x14ac:dyDescent="0.35">
      <c r="B899" s="4"/>
      <c r="C899" s="5"/>
    </row>
    <row r="900" spans="2:3" ht="14.25" customHeight="1" x14ac:dyDescent="0.35">
      <c r="B900" s="4"/>
      <c r="C900" s="5"/>
    </row>
    <row r="901" spans="2:3" ht="14.25" customHeight="1" x14ac:dyDescent="0.35">
      <c r="B901" s="4"/>
      <c r="C901" s="5"/>
    </row>
    <row r="902" spans="2:3" ht="14.25" customHeight="1" x14ac:dyDescent="0.35">
      <c r="B902" s="4"/>
      <c r="C902" s="5"/>
    </row>
    <row r="903" spans="2:3" ht="14.25" customHeight="1" x14ac:dyDescent="0.35">
      <c r="B903" s="4"/>
      <c r="C903" s="5"/>
    </row>
    <row r="904" spans="2:3" ht="14.25" customHeight="1" x14ac:dyDescent="0.35">
      <c r="B904" s="4"/>
      <c r="C904" s="5"/>
    </row>
    <row r="905" spans="2:3" ht="14.25" customHeight="1" x14ac:dyDescent="0.35">
      <c r="B905" s="4"/>
      <c r="C905" s="5"/>
    </row>
    <row r="906" spans="2:3" ht="14.25" customHeight="1" x14ac:dyDescent="0.35">
      <c r="B906" s="4"/>
      <c r="C906" s="5"/>
    </row>
    <row r="907" spans="2:3" ht="14.25" customHeight="1" x14ac:dyDescent="0.35">
      <c r="B907" s="4"/>
      <c r="C907" s="5"/>
    </row>
    <row r="908" spans="2:3" ht="14.25" customHeight="1" x14ac:dyDescent="0.35">
      <c r="B908" s="4"/>
      <c r="C908" s="5"/>
    </row>
    <row r="909" spans="2:3" ht="14.25" customHeight="1" x14ac:dyDescent="0.35">
      <c r="B909" s="4"/>
      <c r="C909" s="5"/>
    </row>
    <row r="910" spans="2:3" ht="14.25" customHeight="1" x14ac:dyDescent="0.35">
      <c r="B910" s="4"/>
      <c r="C910" s="5"/>
    </row>
    <row r="911" spans="2:3" ht="14.25" customHeight="1" x14ac:dyDescent="0.35">
      <c r="B911" s="4"/>
      <c r="C911" s="5"/>
    </row>
    <row r="912" spans="2:3" ht="14.25" customHeight="1" x14ac:dyDescent="0.35">
      <c r="B912" s="4"/>
      <c r="C912" s="5"/>
    </row>
    <row r="913" spans="2:3" ht="14.25" customHeight="1" x14ac:dyDescent="0.35">
      <c r="B913" s="4"/>
      <c r="C913" s="5"/>
    </row>
    <row r="914" spans="2:3" ht="14.25" customHeight="1" x14ac:dyDescent="0.35">
      <c r="B914" s="4"/>
      <c r="C914" s="5"/>
    </row>
    <row r="915" spans="2:3" ht="14.25" customHeight="1" x14ac:dyDescent="0.35">
      <c r="B915" s="4"/>
      <c r="C915" s="5"/>
    </row>
    <row r="916" spans="2:3" ht="14.25" customHeight="1" x14ac:dyDescent="0.35">
      <c r="B916" s="4"/>
      <c r="C916" s="5"/>
    </row>
    <row r="917" spans="2:3" ht="14.25" customHeight="1" x14ac:dyDescent="0.35">
      <c r="B917" s="4"/>
      <c r="C917" s="5"/>
    </row>
    <row r="918" spans="2:3" ht="14.25" customHeight="1" x14ac:dyDescent="0.35">
      <c r="B918" s="4"/>
      <c r="C918" s="5"/>
    </row>
    <row r="919" spans="2:3" ht="14.25" customHeight="1" x14ac:dyDescent="0.35">
      <c r="B919" s="4"/>
      <c r="C919" s="5"/>
    </row>
    <row r="920" spans="2:3" ht="14.25" customHeight="1" x14ac:dyDescent="0.35">
      <c r="B920" s="4"/>
      <c r="C920" s="5"/>
    </row>
    <row r="921" spans="2:3" ht="14.25" customHeight="1" x14ac:dyDescent="0.35">
      <c r="B921" s="4"/>
      <c r="C921" s="5"/>
    </row>
    <row r="922" spans="2:3" ht="14.25" customHeight="1" x14ac:dyDescent="0.35">
      <c r="B922" s="4"/>
      <c r="C922" s="5"/>
    </row>
    <row r="923" spans="2:3" ht="14.25" customHeight="1" x14ac:dyDescent="0.35">
      <c r="B923" s="4"/>
      <c r="C923" s="5"/>
    </row>
    <row r="924" spans="2:3" ht="14.25" customHeight="1" x14ac:dyDescent="0.35">
      <c r="B924" s="4"/>
      <c r="C924" s="5"/>
    </row>
    <row r="925" spans="2:3" ht="14.25" customHeight="1" x14ac:dyDescent="0.35">
      <c r="B925" s="4"/>
      <c r="C925" s="5"/>
    </row>
    <row r="926" spans="2:3" ht="14.25" customHeight="1" x14ac:dyDescent="0.35">
      <c r="B926" s="4"/>
      <c r="C926" s="5"/>
    </row>
    <row r="927" spans="2:3" ht="14.25" customHeight="1" x14ac:dyDescent="0.35">
      <c r="B927" s="4"/>
      <c r="C927" s="5"/>
    </row>
    <row r="928" spans="2:3" ht="14.25" customHeight="1" x14ac:dyDescent="0.35">
      <c r="B928" s="4"/>
      <c r="C928" s="5"/>
    </row>
    <row r="929" spans="2:3" ht="14.25" customHeight="1" x14ac:dyDescent="0.35">
      <c r="B929" s="4"/>
      <c r="C929" s="5"/>
    </row>
    <row r="930" spans="2:3" ht="14.25" customHeight="1" x14ac:dyDescent="0.35">
      <c r="B930" s="4"/>
      <c r="C930" s="5"/>
    </row>
    <row r="931" spans="2:3" ht="14.25" customHeight="1" x14ac:dyDescent="0.35">
      <c r="B931" s="4"/>
      <c r="C931" s="5"/>
    </row>
    <row r="932" spans="2:3" ht="14.25" customHeight="1" x14ac:dyDescent="0.35">
      <c r="B932" s="4"/>
      <c r="C932" s="5"/>
    </row>
    <row r="933" spans="2:3" ht="14.25" customHeight="1" x14ac:dyDescent="0.35">
      <c r="B933" s="4"/>
      <c r="C933" s="5"/>
    </row>
    <row r="934" spans="2:3" ht="14.25" customHeight="1" x14ac:dyDescent="0.35">
      <c r="B934" s="4"/>
      <c r="C934" s="5"/>
    </row>
    <row r="935" spans="2:3" ht="14.25" customHeight="1" x14ac:dyDescent="0.35">
      <c r="B935" s="4"/>
      <c r="C935" s="5"/>
    </row>
    <row r="936" spans="2:3" ht="14.25" customHeight="1" x14ac:dyDescent="0.35">
      <c r="B936" s="4"/>
      <c r="C936" s="5"/>
    </row>
    <row r="937" spans="2:3" ht="14.25" customHeight="1" x14ac:dyDescent="0.35">
      <c r="B937" s="4"/>
      <c r="C937" s="5"/>
    </row>
    <row r="938" spans="2:3" ht="14.25" customHeight="1" x14ac:dyDescent="0.35">
      <c r="B938" s="4"/>
      <c r="C938" s="5"/>
    </row>
    <row r="939" spans="2:3" ht="14.25" customHeight="1" x14ac:dyDescent="0.35">
      <c r="B939" s="4"/>
      <c r="C939" s="5"/>
    </row>
    <row r="940" spans="2:3" ht="14.25" customHeight="1" x14ac:dyDescent="0.35">
      <c r="B940" s="4"/>
      <c r="C940" s="5"/>
    </row>
    <row r="941" spans="2:3" ht="14.25" customHeight="1" x14ac:dyDescent="0.35">
      <c r="B941" s="4"/>
      <c r="C941" s="5"/>
    </row>
    <row r="942" spans="2:3" ht="14.25" customHeight="1" x14ac:dyDescent="0.35">
      <c r="B942" s="4"/>
      <c r="C942" s="5"/>
    </row>
    <row r="943" spans="2:3" ht="14.25" customHeight="1" x14ac:dyDescent="0.35">
      <c r="B943" s="4"/>
      <c r="C943" s="5"/>
    </row>
    <row r="944" spans="2:3" ht="14.25" customHeight="1" x14ac:dyDescent="0.35">
      <c r="B944" s="4"/>
      <c r="C944" s="5"/>
    </row>
    <row r="945" spans="2:3" ht="14.25" customHeight="1" x14ac:dyDescent="0.35">
      <c r="B945" s="4"/>
      <c r="C945" s="5"/>
    </row>
    <row r="946" spans="2:3" ht="14.25" customHeight="1" x14ac:dyDescent="0.35">
      <c r="B946" s="4"/>
      <c r="C946" s="5"/>
    </row>
    <row r="947" spans="2:3" ht="14.25" customHeight="1" x14ac:dyDescent="0.35">
      <c r="B947" s="4"/>
      <c r="C947" s="5"/>
    </row>
    <row r="948" spans="2:3" ht="14.25" customHeight="1" x14ac:dyDescent="0.35">
      <c r="B948" s="4"/>
      <c r="C948" s="5"/>
    </row>
    <row r="949" spans="2:3" ht="14.25" customHeight="1" x14ac:dyDescent="0.35">
      <c r="B949" s="4"/>
      <c r="C949" s="5"/>
    </row>
    <row r="950" spans="2:3" ht="14.25" customHeight="1" x14ac:dyDescent="0.35">
      <c r="B950" s="4"/>
      <c r="C950" s="5"/>
    </row>
    <row r="951" spans="2:3" ht="14.25" customHeight="1" x14ac:dyDescent="0.35">
      <c r="B951" s="4"/>
      <c r="C951" s="5"/>
    </row>
    <row r="952" spans="2:3" ht="14.25" customHeight="1" x14ac:dyDescent="0.35">
      <c r="B952" s="4"/>
      <c r="C952" s="5"/>
    </row>
    <row r="953" spans="2:3" ht="14.25" customHeight="1" x14ac:dyDescent="0.35">
      <c r="B953" s="4"/>
      <c r="C953" s="5"/>
    </row>
    <row r="954" spans="2:3" ht="14.25" customHeight="1" x14ac:dyDescent="0.35">
      <c r="B954" s="4"/>
      <c r="C954" s="5"/>
    </row>
    <row r="955" spans="2:3" ht="14.25" customHeight="1" x14ac:dyDescent="0.35">
      <c r="B955" s="4"/>
      <c r="C955" s="5"/>
    </row>
    <row r="956" spans="2:3" ht="14.25" customHeight="1" x14ac:dyDescent="0.35">
      <c r="B956" s="4"/>
      <c r="C956" s="5"/>
    </row>
    <row r="957" spans="2:3" ht="14.25" customHeight="1" x14ac:dyDescent="0.35">
      <c r="B957" s="4"/>
      <c r="C957" s="5"/>
    </row>
    <row r="958" spans="2:3" ht="14.25" customHeight="1" x14ac:dyDescent="0.35">
      <c r="B958" s="4"/>
      <c r="C958" s="5"/>
    </row>
    <row r="959" spans="2:3" ht="14.25" customHeight="1" x14ac:dyDescent="0.35">
      <c r="B959" s="4"/>
      <c r="C959" s="5"/>
    </row>
    <row r="960" spans="2:3" ht="14.25" customHeight="1" x14ac:dyDescent="0.35">
      <c r="B960" s="4"/>
      <c r="C960" s="5"/>
    </row>
    <row r="961" spans="2:3" ht="14.25" customHeight="1" x14ac:dyDescent="0.35">
      <c r="B961" s="4"/>
      <c r="C961" s="5"/>
    </row>
    <row r="962" spans="2:3" ht="14.25" customHeight="1" x14ac:dyDescent="0.35">
      <c r="B962" s="4"/>
      <c r="C962" s="5"/>
    </row>
    <row r="963" spans="2:3" ht="14.25" customHeight="1" x14ac:dyDescent="0.35">
      <c r="B963" s="4"/>
      <c r="C963" s="5"/>
    </row>
    <row r="964" spans="2:3" ht="14.25" customHeight="1" x14ac:dyDescent="0.35">
      <c r="B964" s="4"/>
      <c r="C964" s="5"/>
    </row>
    <row r="965" spans="2:3" ht="14.25" customHeight="1" x14ac:dyDescent="0.35">
      <c r="B965" s="4"/>
      <c r="C965" s="5"/>
    </row>
    <row r="966" spans="2:3" ht="14.25" customHeight="1" x14ac:dyDescent="0.35">
      <c r="B966" s="4"/>
      <c r="C966" s="5"/>
    </row>
    <row r="967" spans="2:3" ht="14.25" customHeight="1" x14ac:dyDescent="0.35">
      <c r="B967" s="4"/>
      <c r="C967" s="5"/>
    </row>
    <row r="968" spans="2:3" ht="14.25" customHeight="1" x14ac:dyDescent="0.35">
      <c r="B968" s="4"/>
      <c r="C968" s="5"/>
    </row>
    <row r="969" spans="2:3" ht="14.25" customHeight="1" x14ac:dyDescent="0.35">
      <c r="B969" s="4"/>
      <c r="C969" s="5"/>
    </row>
    <row r="970" spans="2:3" ht="14.25" customHeight="1" x14ac:dyDescent="0.35">
      <c r="B970" s="4"/>
      <c r="C970" s="5"/>
    </row>
    <row r="971" spans="2:3" ht="14.25" customHeight="1" x14ac:dyDescent="0.35">
      <c r="B971" s="4"/>
      <c r="C971" s="5"/>
    </row>
    <row r="972" spans="2:3" ht="14.25" customHeight="1" x14ac:dyDescent="0.35">
      <c r="B972" s="4"/>
      <c r="C972" s="5"/>
    </row>
    <row r="973" spans="2:3" ht="14.25" customHeight="1" x14ac:dyDescent="0.35">
      <c r="B973" s="4"/>
      <c r="C973" s="5"/>
    </row>
    <row r="974" spans="2:3" ht="14.25" customHeight="1" x14ac:dyDescent="0.35">
      <c r="B974" s="4"/>
      <c r="C974" s="5"/>
    </row>
    <row r="975" spans="2:3" ht="14.25" customHeight="1" x14ac:dyDescent="0.35">
      <c r="B975" s="4"/>
      <c r="C975" s="5"/>
    </row>
    <row r="976" spans="2:3" ht="14.25" customHeight="1" x14ac:dyDescent="0.35">
      <c r="B976" s="4"/>
      <c r="C976" s="5"/>
    </row>
    <row r="977" spans="2:3" ht="14.25" customHeight="1" x14ac:dyDescent="0.35">
      <c r="B977" s="4"/>
      <c r="C977" s="5"/>
    </row>
    <row r="978" spans="2:3" ht="14.25" customHeight="1" x14ac:dyDescent="0.35">
      <c r="B978" s="4"/>
      <c r="C978" s="5"/>
    </row>
    <row r="979" spans="2:3" ht="14.25" customHeight="1" x14ac:dyDescent="0.35">
      <c r="B979" s="4"/>
      <c r="C979" s="5"/>
    </row>
    <row r="980" spans="2:3" ht="14.25" customHeight="1" x14ac:dyDescent="0.35">
      <c r="B980" s="4"/>
      <c r="C980" s="5"/>
    </row>
    <row r="981" spans="2:3" ht="14.25" customHeight="1" x14ac:dyDescent="0.35">
      <c r="B981" s="4"/>
      <c r="C981" s="5"/>
    </row>
    <row r="982" spans="2:3" ht="14.25" customHeight="1" x14ac:dyDescent="0.35">
      <c r="B982" s="4"/>
      <c r="C982" s="5"/>
    </row>
    <row r="983" spans="2:3" ht="14.25" customHeight="1" x14ac:dyDescent="0.35">
      <c r="B983" s="4"/>
      <c r="C983" s="5"/>
    </row>
    <row r="984" spans="2:3" ht="14.25" customHeight="1" x14ac:dyDescent="0.35">
      <c r="B984" s="4"/>
      <c r="C984" s="5"/>
    </row>
    <row r="985" spans="2:3" ht="14.25" customHeight="1" x14ac:dyDescent="0.35">
      <c r="B985" s="4"/>
      <c r="C985" s="5"/>
    </row>
    <row r="986" spans="2:3" ht="14.25" customHeight="1" x14ac:dyDescent="0.35">
      <c r="B986" s="4"/>
      <c r="C986" s="5"/>
    </row>
    <row r="987" spans="2:3" ht="14.25" customHeight="1" x14ac:dyDescent="0.35">
      <c r="B987" s="4"/>
      <c r="C987" s="5"/>
    </row>
    <row r="988" spans="2:3" ht="14.25" customHeight="1" x14ac:dyDescent="0.35">
      <c r="B988" s="4"/>
      <c r="C988" s="5"/>
    </row>
    <row r="989" spans="2:3" ht="14.25" customHeight="1" x14ac:dyDescent="0.35">
      <c r="B989" s="4"/>
      <c r="C989" s="5"/>
    </row>
    <row r="990" spans="2:3" ht="14.25" customHeight="1" x14ac:dyDescent="0.35">
      <c r="B990" s="4"/>
      <c r="C990" s="5"/>
    </row>
    <row r="991" spans="2:3" ht="14.25" customHeight="1" x14ac:dyDescent="0.35">
      <c r="B991" s="4"/>
      <c r="C991" s="5"/>
    </row>
    <row r="992" spans="2:3" ht="14.25" customHeight="1" x14ac:dyDescent="0.35">
      <c r="B992" s="4"/>
      <c r="C992" s="5"/>
    </row>
    <row r="993" spans="2:3" ht="14.25" customHeight="1" x14ac:dyDescent="0.35">
      <c r="B993" s="4"/>
      <c r="C993" s="5"/>
    </row>
    <row r="994" spans="2:3" ht="14.25" customHeight="1" x14ac:dyDescent="0.35">
      <c r="B994" s="4"/>
      <c r="C994" s="5"/>
    </row>
    <row r="995" spans="2:3" ht="14.25" customHeight="1" x14ac:dyDescent="0.35">
      <c r="B995" s="4"/>
      <c r="C995" s="5"/>
    </row>
    <row r="996" spans="2:3" ht="14.25" customHeight="1" x14ac:dyDescent="0.35">
      <c r="B996" s="4"/>
      <c r="C996" s="5"/>
    </row>
    <row r="997" spans="2:3" ht="14.25" customHeight="1" x14ac:dyDescent="0.35">
      <c r="B997" s="4"/>
      <c r="C997" s="5"/>
    </row>
    <row r="998" spans="2:3" ht="14.25" customHeight="1" x14ac:dyDescent="0.35">
      <c r="B998" s="4"/>
      <c r="C998" s="5"/>
    </row>
    <row r="999" spans="2:3" ht="14.25" customHeight="1" x14ac:dyDescent="0.35">
      <c r="B999" s="4"/>
      <c r="C999" s="5"/>
    </row>
    <row r="1000" spans="2:3" ht="14.25" customHeight="1" x14ac:dyDescent="0.35">
      <c r="B1000" s="4"/>
      <c r="C1000" s="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53125" defaultRowHeight="15" customHeight="1" x14ac:dyDescent="0.35"/>
  <cols>
    <col min="1" max="1" width="8.453125" customWidth="1"/>
    <col min="2" max="2" width="14.453125" customWidth="1"/>
    <col min="3" max="3" width="9.08984375" customWidth="1"/>
    <col min="4" max="4" width="10.08984375" customWidth="1"/>
    <col min="5" max="26" width="8.7265625" customWidth="1"/>
  </cols>
  <sheetData>
    <row r="1" spans="1:4" ht="14.25" customHeight="1" x14ac:dyDescent="0.35">
      <c r="A1" s="7" t="s">
        <v>41</v>
      </c>
      <c r="B1" s="8" t="s">
        <v>42</v>
      </c>
      <c r="C1" s="9" t="s">
        <v>43</v>
      </c>
      <c r="D1" s="7" t="s">
        <v>13</v>
      </c>
    </row>
    <row r="2" spans="1:4" ht="14.25" customHeight="1" x14ac:dyDescent="0.35">
      <c r="A2" s="1">
        <v>35</v>
      </c>
      <c r="B2" s="4">
        <v>0.43645018317542084</v>
      </c>
      <c r="C2" s="5">
        <v>78.177645639745492</v>
      </c>
      <c r="D2" s="4">
        <v>2.746872613905055</v>
      </c>
    </row>
    <row r="3" spans="1:4" ht="14.25" customHeight="1" x14ac:dyDescent="0.35">
      <c r="A3" s="1">
        <v>91</v>
      </c>
      <c r="B3" s="4">
        <v>0.33735976863779937</v>
      </c>
      <c r="C3" s="5">
        <v>47.435302492539634</v>
      </c>
      <c r="D3" s="4">
        <v>1.403178780418642</v>
      </c>
    </row>
    <row r="4" spans="1:4" ht="14.25" customHeight="1" x14ac:dyDescent="0.35">
      <c r="A4" s="1">
        <v>207</v>
      </c>
      <c r="B4" s="4">
        <v>0.53226354816753751</v>
      </c>
      <c r="C4" s="5">
        <v>36.389595342580009</v>
      </c>
      <c r="D4" s="4">
        <v>0.55340951299649488</v>
      </c>
    </row>
    <row r="5" spans="1:4" ht="14.25" customHeight="1" x14ac:dyDescent="0.35">
      <c r="A5" s="1">
        <v>570</v>
      </c>
      <c r="B5" s="4">
        <v>4.641911641886189</v>
      </c>
      <c r="C5" s="5">
        <v>0.7361126155005504</v>
      </c>
      <c r="D5" s="4">
        <v>1.9311091598096972</v>
      </c>
    </row>
    <row r="6" spans="1:4" ht="14.25" customHeight="1" x14ac:dyDescent="0.35">
      <c r="A6" s="1">
        <v>631</v>
      </c>
      <c r="B6" s="4">
        <v>9.4227545758652536</v>
      </c>
      <c r="C6" s="5">
        <v>0.40188261642927214</v>
      </c>
      <c r="D6" s="4">
        <v>2.0276600868965624</v>
      </c>
    </row>
    <row r="7" spans="1:4" ht="14.25" customHeight="1" x14ac:dyDescent="0.35">
      <c r="A7" s="1">
        <v>697</v>
      </c>
      <c r="B7" s="4">
        <v>9.5989039155543345</v>
      </c>
      <c r="C7" s="5">
        <v>0.17494846771503036</v>
      </c>
      <c r="D7" s="4">
        <v>2.6995400017259548</v>
      </c>
    </row>
    <row r="8" spans="1:4" ht="14.25" customHeight="1" x14ac:dyDescent="0.35">
      <c r="A8" s="1">
        <v>707</v>
      </c>
      <c r="B8" s="4">
        <v>0.42070180467416507</v>
      </c>
      <c r="C8" s="5">
        <v>90.364466751957792</v>
      </c>
      <c r="D8" s="4">
        <v>0.68573498692666646</v>
      </c>
    </row>
    <row r="9" spans="1:4" ht="14.25" customHeight="1" x14ac:dyDescent="0.35">
      <c r="A9" s="1">
        <v>755</v>
      </c>
      <c r="B9" s="4">
        <v>0.53430713571528288</v>
      </c>
      <c r="C9" s="5">
        <v>88.099969932523493</v>
      </c>
      <c r="D9" s="4">
        <v>1.2079509469533682</v>
      </c>
    </row>
    <row r="10" spans="1:4" ht="14.25" customHeight="1" x14ac:dyDescent="0.35">
      <c r="A10" s="1">
        <v>762</v>
      </c>
      <c r="B10" s="4">
        <v>0.45024089787638277</v>
      </c>
      <c r="C10" s="5">
        <v>99.337194752892017</v>
      </c>
      <c r="D10" s="4">
        <v>1.2038968510307821</v>
      </c>
    </row>
    <row r="11" spans="1:4" ht="14.25" customHeight="1" x14ac:dyDescent="0.35">
      <c r="A11" s="1">
        <v>790</v>
      </c>
      <c r="B11" s="4">
        <v>7.8201937950803906</v>
      </c>
      <c r="C11" s="5">
        <v>3.3189732381488923E-2</v>
      </c>
      <c r="D11" s="4">
        <v>1.8528444424142394</v>
      </c>
    </row>
    <row r="12" spans="1:4" ht="14.25" customHeight="1" x14ac:dyDescent="0.35">
      <c r="A12" s="1">
        <v>802</v>
      </c>
      <c r="B12" s="4">
        <v>7.1043214039770586</v>
      </c>
      <c r="C12" s="5">
        <v>0.39843641945495056</v>
      </c>
      <c r="D12" s="4">
        <v>1.3545336572317539</v>
      </c>
    </row>
    <row r="13" spans="1:4" ht="14.25" customHeight="1" x14ac:dyDescent="0.35">
      <c r="A13" s="1">
        <v>836</v>
      </c>
      <c r="B13" s="4">
        <v>8.2176486062281029</v>
      </c>
      <c r="C13" s="5">
        <v>0.17799302280316898</v>
      </c>
      <c r="D13" s="4">
        <v>1.7590900459121823</v>
      </c>
    </row>
    <row r="14" spans="1:4" ht="14.25" customHeight="1" x14ac:dyDescent="0.35">
      <c r="A14" s="1">
        <v>872</v>
      </c>
      <c r="B14" s="4">
        <v>5.8911859065317298</v>
      </c>
      <c r="C14" s="5">
        <v>0.32542690615354752</v>
      </c>
      <c r="D14" s="4">
        <v>0.92378802779970148</v>
      </c>
    </row>
    <row r="15" spans="1:4" ht="14.25" customHeight="1" x14ac:dyDescent="0.35">
      <c r="A15" s="1">
        <v>954</v>
      </c>
      <c r="B15" s="4">
        <v>3.5213995169796286</v>
      </c>
      <c r="C15" s="5">
        <v>4.1259991134545704E-2</v>
      </c>
      <c r="D15" s="4">
        <v>0.25512942873062083</v>
      </c>
    </row>
    <row r="16" spans="1:4" ht="14.25" customHeight="1" x14ac:dyDescent="0.35">
      <c r="A16" s="1">
        <v>962</v>
      </c>
      <c r="B16" s="4">
        <v>0.3621252484718851</v>
      </c>
      <c r="C16" s="5">
        <v>95.408128218027827</v>
      </c>
      <c r="D16" s="4">
        <v>0.61690368932313355</v>
      </c>
    </row>
    <row r="17" spans="1:4" ht="14.25" customHeight="1" x14ac:dyDescent="0.35">
      <c r="A17" s="1">
        <v>971</v>
      </c>
      <c r="B17" s="4">
        <v>0.33898337185350957</v>
      </c>
      <c r="C17" s="5">
        <v>91.732859570614224</v>
      </c>
      <c r="D17" s="4">
        <v>0.64675650793850092</v>
      </c>
    </row>
    <row r="18" spans="1:4" ht="14.25" customHeight="1" x14ac:dyDescent="0.35">
      <c r="A18" s="1">
        <v>982</v>
      </c>
      <c r="B18" s="4">
        <v>0.33735976863779937</v>
      </c>
      <c r="C18" s="5">
        <v>57.704951339070263</v>
      </c>
      <c r="D18" s="4">
        <v>2.9035709185058072</v>
      </c>
    </row>
    <row r="19" spans="1:4" ht="14.25" customHeight="1" x14ac:dyDescent="0.35">
      <c r="A19" s="1">
        <v>1014</v>
      </c>
      <c r="B19" s="4">
        <v>9.0506776562361004</v>
      </c>
      <c r="C19" s="5">
        <v>0.71198952660367354</v>
      </c>
      <c r="D19" s="4">
        <v>2.3017811631630205</v>
      </c>
    </row>
    <row r="20" spans="1:4" ht="14.25" customHeight="1" x14ac:dyDescent="0.35">
      <c r="A20" s="1">
        <v>1035</v>
      </c>
      <c r="B20" s="4">
        <v>6.5297033608495365</v>
      </c>
      <c r="C20" s="5">
        <v>2.054150321596504E-2</v>
      </c>
      <c r="D20" s="4">
        <v>1.3756516629534754</v>
      </c>
    </row>
    <row r="21" spans="1:4" ht="14.25" customHeight="1" x14ac:dyDescent="0.35">
      <c r="A21" s="1">
        <v>1044</v>
      </c>
      <c r="B21" s="4">
        <v>0.5610562758446358</v>
      </c>
      <c r="C21" s="5">
        <v>84.301423961499964</v>
      </c>
      <c r="D21" s="4">
        <v>2.6492622052295749</v>
      </c>
    </row>
    <row r="22" spans="1:4" ht="14.25" customHeight="1" x14ac:dyDescent="0.35">
      <c r="A22" s="1">
        <v>1091</v>
      </c>
      <c r="B22" s="4">
        <v>0.92553085588797601</v>
      </c>
      <c r="C22" s="5">
        <v>88.661022343278077</v>
      </c>
      <c r="D22" s="4">
        <v>2.66143771994926</v>
      </c>
    </row>
    <row r="23" spans="1:4" ht="14.25" customHeight="1" x14ac:dyDescent="0.35">
      <c r="A23" s="1">
        <v>1094</v>
      </c>
      <c r="B23" s="4">
        <v>3.441588237306096</v>
      </c>
      <c r="C23" s="5">
        <v>66.340574915676257</v>
      </c>
      <c r="D23" s="4">
        <v>2.4948461086784777</v>
      </c>
    </row>
    <row r="24" spans="1:4" ht="14.25" customHeight="1" x14ac:dyDescent="0.35">
      <c r="A24" s="1">
        <v>1097</v>
      </c>
      <c r="B24" s="4">
        <v>4.3030294604863446</v>
      </c>
      <c r="C24" s="5">
        <v>99.222808457063948</v>
      </c>
      <c r="D24" s="4">
        <v>2.8395750199815346</v>
      </c>
    </row>
    <row r="25" spans="1:4" ht="14.25" customHeight="1" x14ac:dyDescent="0.35">
      <c r="A25" s="1">
        <v>1098</v>
      </c>
      <c r="B25" s="4">
        <v>0.69534260741033416</v>
      </c>
      <c r="C25" s="5">
        <v>48.204808004424237</v>
      </c>
      <c r="D25" s="4">
        <v>0.31486619023461765</v>
      </c>
    </row>
    <row r="26" spans="1:4" ht="14.25" customHeight="1" x14ac:dyDescent="0.35">
      <c r="A26" s="1">
        <v>1100</v>
      </c>
      <c r="B26" s="4">
        <v>6.6708003843085297</v>
      </c>
      <c r="C26" s="5">
        <v>9.6869700740117146</v>
      </c>
      <c r="D26" s="4">
        <v>3.2266163247432469</v>
      </c>
    </row>
    <row r="27" spans="1:4" ht="14.25" customHeight="1" x14ac:dyDescent="0.35">
      <c r="A27" s="1">
        <v>1101</v>
      </c>
      <c r="B27" s="4">
        <v>3.7797107747075431</v>
      </c>
      <c r="C27" s="5">
        <v>72.776842359512912</v>
      </c>
      <c r="D27" s="4">
        <v>2.7091732189573881</v>
      </c>
    </row>
    <row r="28" spans="1:4" ht="14.25" customHeight="1" x14ac:dyDescent="0.35">
      <c r="A28" s="1">
        <v>1104</v>
      </c>
      <c r="B28" s="4">
        <v>2.4110866230520589</v>
      </c>
      <c r="C28" s="5">
        <v>87.68549569993786</v>
      </c>
      <c r="D28" s="4">
        <v>1.2292350199888231</v>
      </c>
    </row>
    <row r="29" spans="1:4" ht="14.25" customHeight="1" x14ac:dyDescent="0.35">
      <c r="A29" s="1">
        <v>1106</v>
      </c>
      <c r="B29" s="4">
        <v>2.9859893627222291</v>
      </c>
      <c r="C29" s="5">
        <v>82.198983453072742</v>
      </c>
      <c r="D29" s="4">
        <v>2.8706130768340863</v>
      </c>
    </row>
    <row r="30" spans="1:4" ht="14.25" customHeight="1" x14ac:dyDescent="0.35">
      <c r="A30" s="1">
        <v>1109</v>
      </c>
      <c r="B30" s="4">
        <v>7.3420481814718386</v>
      </c>
      <c r="C30" s="5">
        <v>0.8047632978806174</v>
      </c>
      <c r="D30" s="4">
        <v>2.5271032160928897</v>
      </c>
    </row>
    <row r="31" spans="1:4" ht="14.25" customHeight="1" x14ac:dyDescent="0.35">
      <c r="A31" s="1">
        <v>1115</v>
      </c>
      <c r="B31" s="4">
        <v>3.531454338686749</v>
      </c>
      <c r="C31" s="5">
        <v>28.833813284378884</v>
      </c>
      <c r="D31" s="4">
        <v>2.4577556619557446</v>
      </c>
    </row>
    <row r="32" spans="1: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Model</vt:lpstr>
      <vt:lpstr>Raw Data</vt:lpstr>
      <vt:lpstr>Test Data</vt:lpstr>
      <vt:lpstr>Model!OpenSolverModelParameters</vt:lpstr>
      <vt:lpstr>Model!solver_adj</vt:lpstr>
      <vt:lpstr>Model!solver_lhs1</vt:lpstr>
      <vt:lpstr>Model!solver_lhs2</vt:lpstr>
      <vt:lpstr>Model!solver_opt</vt:lpstr>
      <vt:lpstr>Model!solver_rhs2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Gorman</dc:creator>
  <cp:lastModifiedBy>哲 王</cp:lastModifiedBy>
  <dcterms:created xsi:type="dcterms:W3CDTF">2017-12-05T20:18:45Z</dcterms:created>
  <dcterms:modified xsi:type="dcterms:W3CDTF">2026-02-25T21:59:53Z</dcterms:modified>
</cp:coreProperties>
</file>